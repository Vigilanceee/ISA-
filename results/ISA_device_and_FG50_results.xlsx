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e23396cfa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eeee788571e4e37"/>
    <x:sheet xmlns:r="http://schemas.openxmlformats.org/officeDocument/2006/relationships" name="Selected Device Results" sheetId="2" r:id="R6ad660ebdef344c8"/>
    <x:sheet xmlns:r="http://schemas.openxmlformats.org/officeDocument/2006/relationships" name="Latest LR Search" sheetId="3" r:id="R722b05d4285f43c4"/>
    <x:sheet xmlns:r="http://schemas.openxmlformats.org/officeDocument/2006/relationships" name="FG50 Pipeline" sheetId="4" r:id="Rb3ad55691d834e20"/>
    <x:sheet xmlns:r="http://schemas.openxmlformats.org/officeDocument/2006/relationships" name="FG50 MC Samples" sheetId="5" r:id="Rad11a4ff626c42f3"/>
    <x:sheet xmlns:r="http://schemas.openxmlformats.org/officeDocument/2006/relationships" name="Provenance" sheetId="6" r:id="Re464447bb64a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0&quot;%&quot;"/>
    <x:numFmt numFmtId="202" formatCode="0.0000000000"/>
    <x:numFmt numFmtId="203" formatCode="0.000"/>
    <x:numFmt numFmtId="204" formatCode="0.0000&quot;%&quot;"/>
    <x:numFmt numFmtId="205" formatCode="0.000000"/>
    <x:numFmt numFmtId="206" formatCode="0"/>
  </x:numFmts>
  <x:fonts count="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21"/>
      <x:color rgb="FFFFFFFF"/>
      <x:name val="Aptos Display"/>
    </x:font>
    <x:font>
      <x:i/>
      <x:sz val="10"/>
      <x:color rgb="FF5E6C7B"/>
      <x:name val="Aptos"/>
    </x:font>
    <x:font>
      <x:b/>
      <x:sz val="10"/>
      <x:color rgb="FF1F2937"/>
      <x:name val="Aptos"/>
    </x:font>
    <x:font>
      <x:b/>
      <x:sz val="20"/>
      <x:color rgb="FF17324D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DDF3EF"/>
      </x:patternFill>
    </x:fill>
    <x:fill>
      <x:patternFill patternType="solid">
        <x:fgColor rgb="FFFFF4D6"/>
      </x:patternFill>
    </x:fill>
    <x:fill>
      <x:patternFill patternType="solid">
        <x:fgColor rgb="FF0F766E"/>
      </x:patternFill>
    </x:fill>
  </x:fills>
  <x:borders count="19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top style="thin">
        <x:color rgb="FFD8E0E8"/>
      </x:top>
    </x:border>
    <x:border>
      <x:bottom style="thin">
        <x:color rgb="FFEDF1F5"/>
      </x:bottom>
    </x:border>
    <x:border>
      <x:top style="thin">
        <x:color rgb="FFEDF1F5"/>
      </x:top>
      <x:bottom style="thin">
        <x:color rgb="FFEDF1F5"/>
      </x:bottom>
    </x:border>
    <x:border>
      <x:top style="thin">
        <x:color rgb="FFEDF1F5"/>
      </x:top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</x:border>
    <x:border>
      <x:right style="thin">
        <x:color rgb="FFD8E0E8"/>
      </x:right>
    </x:border>
  </x:borders>
  <x:cellStyleXfs count="1">
    <x:xf numFmtId="0" fontId="0" fillId="0" borderId="0"/>
  </x:cellStyleXfs>
  <x:cellXfs count="2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6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5" fontId="1" fillId="0" borderId="8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206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5" fontId="1" fillId="0" borderId="9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206" fontId="1" fillId="0" borderId="9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5" xfId="0" applyNumberFormat="1" applyFont="1" applyFill="1" applyBorder="1"/>
    <x:xf numFmtId="0" fontId="5" fillId="4" borderId="11" xfId="0" applyNumberFormat="1" applyFont="1" applyFill="1" applyBorder="1"/>
    <x:xf numFmtId="0" fontId="5" fillId="4" borderId="1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5" fillId="4" borderId="11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1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12" xfId="0" applyNumberFormat="1" applyFont="1" applyFill="1" applyBorder="1"/>
    <x:xf numFmtId="0" fontId="6" fillId="4" borderId="6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6" fillId="4" borderId="4" xfId="0" applyNumberFormat="1" applyFont="1" applyFill="1" applyBorder="1"/>
    <x:xf numFmtId="0" fontId="6" fillId="4" borderId="15" xfId="0" applyNumberFormat="1" applyFont="1" applyFill="1" applyBorder="1"/>
    <x:xf numFmtId="201" fontId="6" fillId="4" borderId="12" xfId="0" applyNumberFormat="1" applyFont="1" applyFill="1" applyBorder="1"/>
    <x:xf numFmtId="201" fontId="6" fillId="4" borderId="6" xfId="0" applyNumberFormat="1" applyFont="1" applyFill="1" applyBorder="1"/>
    <x:xf numFmtId="201" fontId="6" fillId="4" borderId="13" xfId="0" applyNumberFormat="1" applyFont="1" applyFill="1" applyBorder="1"/>
    <x:xf numFmtId="201" fontId="6" fillId="4" borderId="14" xfId="0" applyNumberFormat="1" applyFont="1" applyFill="1" applyBorder="1"/>
    <x:xf numFmtId="201" fontId="6" fillId="4" borderId="4" xfId="0" applyNumberFormat="1" applyFont="1" applyFill="1" applyBorder="1"/>
    <x:xf numFmtId="201" fontId="6" fillId="4" borderId="15" xfId="0" applyNumberFormat="1" applyFont="1" applyFill="1" applyBorder="1"/>
    <x:xf numFmtId="201" fontId="6" fillId="4" borderId="12" xfId="0" applyNumberFormat="1" applyFont="1" applyFill="1" applyBorder="1" applyAlignment="1">
      <x:alignment horizontal="center"/>
    </x:xf>
    <x:xf numFmtId="201" fontId="6" fillId="4" borderId="6" xfId="0" applyNumberFormat="1" applyFont="1" applyFill="1" applyBorder="1" applyAlignment="1">
      <x:alignment horizontal="center"/>
    </x:xf>
    <x:xf numFmtId="201" fontId="6" fillId="4" borderId="13" xfId="0" applyNumberFormat="1" applyFont="1" applyFill="1" applyBorder="1" applyAlignment="1">
      <x:alignment horizontal="center"/>
    </x:xf>
    <x:xf numFmtId="201" fontId="6" fillId="4" borderId="14" xfId="0" applyNumberFormat="1" applyFont="1" applyFill="1" applyBorder="1" applyAlignment="1">
      <x:alignment horizontal="center"/>
    </x:xf>
    <x:xf numFmtId="201" fontId="6" fillId="4" borderId="4" xfId="0" applyNumberFormat="1" applyFont="1" applyFill="1" applyBorder="1" applyAlignment="1">
      <x:alignment horizontal="center"/>
    </x:xf>
    <x:xf numFmtId="201" fontId="6" fillId="4" borderId="15" xfId="0" applyNumberFormat="1" applyFont="1" applyFill="1" applyBorder="1" applyAlignment="1">
      <x:alignment horizontal="center"/>
    </x:xf>
    <x:xf numFmtId="201" fontId="6" fillId="4" borderId="12" xfId="0" applyNumberFormat="1" applyFont="1" applyFill="1" applyBorder="1" applyAlignment="1">
      <x:alignment horizontal="center" vertical="center"/>
    </x:xf>
    <x:xf numFmtId="201" fontId="6" fillId="4" borderId="6" xfId="0" applyNumberFormat="1" applyFont="1" applyFill="1" applyBorder="1" applyAlignment="1">
      <x:alignment horizontal="center" vertical="center"/>
    </x:xf>
    <x:xf numFmtId="201" fontId="6" fillId="4" borderId="13" xfId="0" applyNumberFormat="1" applyFont="1" applyFill="1" applyBorder="1" applyAlignment="1">
      <x:alignment horizontal="center" vertical="center"/>
    </x:xf>
    <x:xf numFmtId="201" fontId="6" fillId="4" borderId="14" xfId="0" applyNumberFormat="1" applyFont="1" applyFill="1" applyBorder="1" applyAlignment="1">
      <x:alignment horizontal="center" vertical="center"/>
    </x:xf>
    <x:xf numFmtId="201" fontId="6" fillId="4" borderId="4" xfId="0" applyNumberFormat="1" applyFont="1" applyFill="1" applyBorder="1" applyAlignment="1">
      <x:alignment horizontal="center" vertical="center"/>
    </x:xf>
    <x:xf numFmtId="201" fontId="6" fillId="4" borderId="1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5" xfId="0" applyNumberFormat="1" applyFont="1" applyFill="1" applyBorder="1"/>
    <x:xf numFmtId="0" fontId="5" fillId="5" borderId="11" xfId="0" applyNumberFormat="1" applyFont="1" applyFill="1" applyBorder="1"/>
    <x:xf numFmtId="0" fontId="5" fillId="5" borderId="10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12" xfId="0" applyNumberFormat="1" applyFont="1" applyFill="1" applyBorder="1"/>
    <x:xf numFmtId="0" fontId="6" fillId="5" borderId="6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4" xfId="0" applyNumberFormat="1" applyFont="1" applyFill="1" applyBorder="1"/>
    <x:xf numFmtId="0" fontId="6" fillId="5" borderId="15" xfId="0" applyNumberFormat="1" applyFont="1" applyFill="1" applyBorder="1"/>
    <x:xf numFmtId="201" fontId="6" fillId="5" borderId="12" xfId="0" applyNumberFormat="1" applyFont="1" applyFill="1" applyBorder="1"/>
    <x:xf numFmtId="201" fontId="6" fillId="5" borderId="6" xfId="0" applyNumberFormat="1" applyFont="1" applyFill="1" applyBorder="1"/>
    <x:xf numFmtId="201" fontId="6" fillId="5" borderId="13" xfId="0" applyNumberFormat="1" applyFont="1" applyFill="1" applyBorder="1"/>
    <x:xf numFmtId="201" fontId="6" fillId="5" borderId="14" xfId="0" applyNumberFormat="1" applyFont="1" applyFill="1" applyBorder="1"/>
    <x:xf numFmtId="201" fontId="6" fillId="5" borderId="4" xfId="0" applyNumberFormat="1" applyFont="1" applyFill="1" applyBorder="1"/>
    <x:xf numFmtId="201" fontId="6" fillId="5" borderId="15" xfId="0" applyNumberFormat="1" applyFont="1" applyFill="1" applyBorder="1"/>
    <x:xf numFmtId="201" fontId="6" fillId="5" borderId="12" xfId="0" applyNumberFormat="1" applyFont="1" applyFill="1" applyBorder="1" applyAlignment="1">
      <x:alignment horizontal="center"/>
    </x:xf>
    <x:xf numFmtId="201" fontId="6" fillId="5" borderId="6" xfId="0" applyNumberFormat="1" applyFont="1" applyFill="1" applyBorder="1" applyAlignment="1">
      <x:alignment horizontal="center"/>
    </x:xf>
    <x:xf numFmtId="201" fontId="6" fillId="5" borderId="13" xfId="0" applyNumberFormat="1" applyFont="1" applyFill="1" applyBorder="1" applyAlignment="1">
      <x:alignment horizontal="center"/>
    </x:xf>
    <x:xf numFmtId="201" fontId="6" fillId="5" borderId="14" xfId="0" applyNumberFormat="1" applyFont="1" applyFill="1" applyBorder="1" applyAlignment="1">
      <x:alignment horizontal="center"/>
    </x:xf>
    <x:xf numFmtId="201" fontId="6" fillId="5" borderId="4" xfId="0" applyNumberFormat="1" applyFont="1" applyFill="1" applyBorder="1" applyAlignment="1">
      <x:alignment horizontal="center"/>
    </x:xf>
    <x:xf numFmtId="201" fontId="6" fillId="5" borderId="15" xfId="0" applyNumberFormat="1" applyFont="1" applyFill="1" applyBorder="1" applyAlignment="1">
      <x:alignment horizontal="center"/>
    </x:xf>
    <x:xf numFmtId="201" fontId="6" fillId="5" borderId="12" xfId="0" applyNumberFormat="1" applyFont="1" applyFill="1" applyBorder="1" applyAlignment="1">
      <x:alignment horizontal="center" vertical="center"/>
    </x:xf>
    <x:xf numFmtId="201" fontId="6" fillId="5" borderId="6" xfId="0" applyNumberFormat="1" applyFont="1" applyFill="1" applyBorder="1" applyAlignment="1">
      <x:alignment horizontal="center" vertical="center"/>
    </x:xf>
    <x:xf numFmtId="201" fontId="6" fillId="5" borderId="13" xfId="0" applyNumberFormat="1" applyFont="1" applyFill="1" applyBorder="1" applyAlignment="1">
      <x:alignment horizontal="center" vertical="center"/>
    </x:xf>
    <x:xf numFmtId="201" fontId="6" fillId="5" borderId="14" xfId="0" applyNumberFormat="1" applyFont="1" applyFill="1" applyBorder="1" applyAlignment="1">
      <x:alignment horizontal="center" vertical="center"/>
    </x:xf>
    <x:xf numFmtId="201" fontId="6" fillId="5" borderId="4" xfId="0" applyNumberFormat="1" applyFont="1" applyFill="1" applyBorder="1" applyAlignment="1">
      <x:alignment horizontal="center" vertical="center"/>
    </x:xf>
    <x:xf numFmtId="201" fontId="6" fillId="5" borderId="15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5" xfId="0" applyNumberFormat="1" applyFont="1" applyFill="1" applyBorder="1"/>
    <x:xf numFmtId="0" fontId="5" fillId="3" borderId="11" xfId="0" applyNumberFormat="1" applyFont="1" applyFill="1" applyBorder="1"/>
    <x:xf numFmtId="0" fontId="5" fillId="3" borderId="10" xfId="0" applyNumberFormat="1" applyFont="1" applyFill="1" applyBorder="1" applyAlignment="1">
      <x:alignment horizontal="center"/>
    </x:xf>
    <x:xf numFmtId="0" fontId="5" fillId="3" borderId="5" xfId="0" applyNumberFormat="1" applyFont="1" applyFill="1" applyBorder="1" applyAlignment="1">
      <x:alignment horizontal="center"/>
    </x:xf>
    <x:xf numFmtId="0" fontId="5" fillId="3" borderId="11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5" fillId="3" borderId="1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2" xfId="0" applyNumberFormat="1" applyFont="1" applyFill="1" applyBorder="1"/>
    <x:xf numFmtId="0" fontId="6" fillId="3" borderId="6" xfId="0" applyNumberFormat="1" applyFont="1" applyFill="1" applyBorder="1"/>
    <x:xf numFmtId="0" fontId="6" fillId="3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4" xfId="0" applyNumberFormat="1" applyFont="1" applyFill="1" applyBorder="1"/>
    <x:xf numFmtId="0" fontId="6" fillId="3" borderId="15" xfId="0" applyNumberFormat="1" applyFont="1" applyFill="1" applyBorder="1"/>
    <x:xf numFmtId="201" fontId="6" fillId="3" borderId="12" xfId="0" applyNumberFormat="1" applyFont="1" applyFill="1" applyBorder="1"/>
    <x:xf numFmtId="201" fontId="6" fillId="3" borderId="6" xfId="0" applyNumberFormat="1" applyFont="1" applyFill="1" applyBorder="1"/>
    <x:xf numFmtId="201" fontId="6" fillId="3" borderId="13" xfId="0" applyNumberFormat="1" applyFont="1" applyFill="1" applyBorder="1"/>
    <x:xf numFmtId="201" fontId="6" fillId="3" borderId="14" xfId="0" applyNumberFormat="1" applyFont="1" applyFill="1" applyBorder="1"/>
    <x:xf numFmtId="201" fontId="6" fillId="3" borderId="4" xfId="0" applyNumberFormat="1" applyFont="1" applyFill="1" applyBorder="1"/>
    <x:xf numFmtId="201" fontId="6" fillId="3" borderId="15" xfId="0" applyNumberFormat="1" applyFont="1" applyFill="1" applyBorder="1"/>
    <x:xf numFmtId="201" fontId="6" fillId="3" borderId="12" xfId="0" applyNumberFormat="1" applyFont="1" applyFill="1" applyBorder="1" applyAlignment="1">
      <x:alignment horizontal="center"/>
    </x:xf>
    <x:xf numFmtId="201" fontId="6" fillId="3" borderId="6" xfId="0" applyNumberFormat="1" applyFont="1" applyFill="1" applyBorder="1" applyAlignment="1">
      <x:alignment horizontal="center"/>
    </x:xf>
    <x:xf numFmtId="201" fontId="6" fillId="3" borderId="13" xfId="0" applyNumberFormat="1" applyFont="1" applyFill="1" applyBorder="1" applyAlignment="1">
      <x:alignment horizontal="center"/>
    </x:xf>
    <x:xf numFmtId="201" fontId="6" fillId="3" borderId="14" xfId="0" applyNumberFormat="1" applyFont="1" applyFill="1" applyBorder="1" applyAlignment="1">
      <x:alignment horizontal="center"/>
    </x:xf>
    <x:xf numFmtId="201" fontId="6" fillId="3" borderId="4" xfId="0" applyNumberFormat="1" applyFont="1" applyFill="1" applyBorder="1" applyAlignment="1">
      <x:alignment horizontal="center"/>
    </x:xf>
    <x:xf numFmtId="201" fontId="6" fillId="3" borderId="15" xfId="0" applyNumberFormat="1" applyFont="1" applyFill="1" applyBorder="1" applyAlignment="1">
      <x:alignment horizontal="center"/>
    </x:xf>
    <x:xf numFmtId="201" fontId="6" fillId="3" borderId="12" xfId="0" applyNumberFormat="1" applyFont="1" applyFill="1" applyBorder="1" applyAlignment="1">
      <x:alignment horizontal="center" vertical="center"/>
    </x:xf>
    <x:xf numFmtId="201" fontId="6" fillId="3" borderId="6" xfId="0" applyNumberFormat="1" applyFont="1" applyFill="1" applyBorder="1" applyAlignment="1">
      <x:alignment horizontal="center" vertical="center"/>
    </x:xf>
    <x:xf numFmtId="201" fontId="6" fillId="3" borderId="13" xfId="0" applyNumberFormat="1" applyFont="1" applyFill="1" applyBorder="1" applyAlignment="1">
      <x:alignment horizontal="center" vertical="center"/>
    </x:xf>
    <x:xf numFmtId="201" fontId="6" fillId="3" borderId="14" xfId="0" applyNumberFormat="1" applyFont="1" applyFill="1" applyBorder="1" applyAlignment="1">
      <x:alignment horizontal="center" vertical="center"/>
    </x:xf>
    <x:xf numFmtId="201" fontId="6" fillId="3" borderId="4" xfId="0" applyNumberFormat="1" applyFont="1" applyFill="1" applyBorder="1" applyAlignment="1">
      <x:alignment horizontal="center" vertical="center"/>
    </x:xf>
    <x:xf numFmtId="201" fontId="6" fillId="3" borderId="15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201" fontId="1" fillId="0" borderId="0" xfId="0" applyNumberFormat="1" applyFont="1" applyFill="1" applyBorder="1"/>
    <x:xf numFmtId="0" fontId="2" fillId="6" borderId="16" xfId="0" applyNumberFormat="1" applyFont="1" applyFill="1" applyBorder="1"/>
    <x:xf numFmtId="0" fontId="1" fillId="0" borderId="16" xfId="0" applyNumberFormat="1" applyFont="1" applyFill="1" applyBorder="1"/>
    <x:xf numFmtId="201" fontId="1" fillId="0" borderId="16" xfId="0" applyNumberFormat="1" applyFont="1" applyFill="1" applyBorder="1"/>
    <x:xf numFmtId="0" fontId="0" fillId="6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0" fontId="1" fillId="3" borderId="0" xfId="0" applyNumberFormat="1" applyFont="1" applyFill="1" applyBorder="1"/>
    <x:xf numFmtId="0" fontId="1" fillId="3" borderId="12" xfId="0" applyNumberFormat="1" applyFont="1" applyFill="1" applyBorder="1"/>
    <x:xf numFmtId="0" fontId="1" fillId="3" borderId="6" xfId="0" applyNumberFormat="1" applyFont="1" applyFill="1" applyBorder="1"/>
    <x:xf numFmtId="0" fontId="1" fillId="3" borderId="13" xfId="0" applyNumberFormat="1" applyFont="1" applyFill="1" applyBorder="1"/>
    <x:xf numFmtId="0" fontId="1" fillId="3" borderId="17" xfId="0" applyNumberFormat="1" applyFont="1" applyFill="1" applyBorder="1"/>
    <x:xf numFmtId="0" fontId="1" fillId="3" borderId="18" xfId="0" applyNumberFormat="1" applyFont="1" applyFill="1" applyBorder="1"/>
    <x:xf numFmtId="0" fontId="1" fillId="3" borderId="14" xfId="0" applyNumberFormat="1" applyFont="1" applyFill="1" applyBorder="1"/>
    <x:xf numFmtId="0" fontId="1" fillId="3" borderId="4" xfId="0" applyNumberFormat="1" applyFont="1" applyFill="1" applyBorder="1"/>
    <x:xf numFmtId="0" fontId="1" fillId="3" borderId="15" xfId="0" applyNumberFormat="1" applyFont="1" applyFill="1" applyBorder="1"/>
    <x:xf numFmtId="0" fontId="1" fillId="3" borderId="12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13" xfId="0" applyNumberFormat="1" applyFont="1" applyFill="1" applyBorder="1" applyAlignment="1">
      <x:alignment wrapText="1"/>
    </x:xf>
    <x:xf numFmtId="0" fontId="1" fillId="3" borderId="17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8" xfId="0" applyNumberFormat="1" applyFont="1" applyFill="1" applyBorder="1" applyAlignment="1">
      <x:alignment wrapText="1"/>
    </x:xf>
    <x:xf numFmtId="0" fontId="1" fillId="3" borderId="14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15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1" fillId="3" borderId="17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8" xfId="0" applyNumberFormat="1" applyFont="1" applyFill="1" applyBorder="1" applyAlignment="1">
      <x:alignment vertical="center" wrapText="1"/>
    </x:xf>
    <x:xf numFmtId="0" fontId="1" fillId="3" borderId="14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15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0cf787f604a4c" /><Relationship Type="http://schemas.openxmlformats.org/officeDocument/2006/relationships/theme" Target="/xl/theme/theme1.xml" Id="R0fa2240208e14221" /><Relationship Type="http://schemas.openxmlformats.org/officeDocument/2006/relationships/sharedStrings" Target="/xl/sharedStrings.xml" Id="Radcad4acb6454634" /><Relationship Type="http://schemas.openxmlformats.org/officeDocument/2006/relationships/worksheet" Target="/xl/worksheets/sheet1.xml" Id="Rbeeee788571e4e37" /><Relationship Type="http://schemas.openxmlformats.org/officeDocument/2006/relationships/worksheet" Target="/xl/worksheets/sheet2.xml" Id="R6ad660ebdef344c8" /><Relationship Type="http://schemas.openxmlformats.org/officeDocument/2006/relationships/worksheet" Target="/xl/worksheets/sheet3.xml" Id="R722b05d4285f43c4" /><Relationship Type="http://schemas.openxmlformats.org/officeDocument/2006/relationships/worksheet" Target="/xl/worksheets/sheet4.xml" Id="Rb3ad55691d834e20" /><Relationship Type="http://schemas.openxmlformats.org/officeDocument/2006/relationships/worksheet" Target="/xl/worksheets/sheet5.xml" Id="Rad11a4ff626c42f3" /><Relationship Type="http://schemas.openxmlformats.org/officeDocument/2006/relationships/worksheet" Target="/xl/worksheets/sheet6.xml" Id="Re464447bb64a46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0b94ae74bd4061" /><Relationship Type="http://schemas.openxmlformats.org/officeDocument/2006/relationships/chart" Target="/xl/drawings/charts/chart2.xml" Id="Rcdb9ee10769549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VGG8/CIFAR-10: selected historical vs later LR search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Selected historical</c:v>
          </c:tx>
          <c:cat>
            <c:strRef>
              <c:f>'Overview'!$A$9:$A$13</c:f>
              <c:strCache>
                <c:ptCount val="0"/>
              </c:strCache>
            </c:strRef>
          </c:cat>
          <c:val>
            <c:numRef>
              <c:f>'Overview'!$B$9:$B$13</c:f>
              <c:numCache>
                <c:formatCode>0.00"%"</c:formatCode>
                <c:ptCount val="0"/>
              </c:numCache>
            </c:numRef>
          </c:val>
        </c:ser>
        <c:ser>
          <c:idx val="1"/>
          <c:order val="1"/>
          <c:tx>
            <c:v>Latest LR search</c:v>
          </c:tx>
          <c:cat>
            <c:strRef>
              <c:f>'Overview'!$A$9:$A$13</c:f>
              <c:strCache>
                <c:ptCount val="0"/>
              </c:strCache>
            </c:strRef>
          </c:cat>
          <c:val>
            <c:numRef>
              <c:f>'Overview'!$C$9:$C$13</c:f>
              <c:numCache>
                <c:formatCode>0.00"%"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95"/>
          <c:min val="7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%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FG50 deployment accuracy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Top-1</c:v>
          </c:tx>
          <c:marker>
            <c:symbol val="none"/>
          </c:marker>
          <c:cat>
            <c:strRef>
              <c:f>'Overview'!$A$27:$A$31</c:f>
              <c:strCache>
                <c:ptCount val="0"/>
              </c:strCache>
            </c:strRef>
          </c:cat>
          <c:val>
            <c:numRef>
              <c:f>'Overview'!$B$27:$B$31</c:f>
              <c:numCache>
                <c:formatCode>0.00"%"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75"/>
          <c:min val="5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%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0b94ae74bd4061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b9ee10769549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lectedDeviceResults" displayName="SelectedDeviceResults" ref="A1:Q11" headerRowCount="1" totalsRowCount="0" totalsRowShown="0">
  <x:tableColumns count="17">
    <x:tableColumn id="1" name="architecture"/>
    <x:tableColumn id="2" name="dataset"/>
    <x:tableColumn id="3" name="device"/>
    <x:tableColumn id="4" name="best_val_accuracy"/>
    <x:tableColumn id="5" name="best_val_percent"/>
    <x:tableColumn id="6" name="best_epoch"/>
    <x:tableColumn id="7" name="epochs"/>
    <x:tableColumn id="8" name="trial"/>
    <x:tableColumn id="9" name="learning_rate"/>
    <x:tableColumn id="10" name="label_smoothing"/>
    <x:tableColumn id="11" name="weight_decay"/>
    <x:tableColumn id="12" name="tia_r_ohm"/>
    <x:tableColumn id="13" name="initialization_parameter"/>
    <x:tableColumn id="14" name="initialization_value"/>
    <x:tableColumn id="15" name="fefet_fit_group"/>
    <x:tableColumn id="16" name="source_run"/>
    <x:tableColumn id="17" name="source_ki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testLrSearch" displayName="LatestLrSearch" ref="A1:M11" headerRowCount="1" totalsRowCount="0" totalsRowShown="0">
  <x:tableColumns count="13">
    <x:tableColumn id="1" name="architecture"/>
    <x:tableColumn id="2" name="dataset"/>
    <x:tableColumn id="3" name="device"/>
    <x:tableColumn id="4" name="best_val_accuracy"/>
    <x:tableColumn id="5" name="best_val_percent"/>
    <x:tableColumn id="6" name="epochs"/>
    <x:tableColumn id="7" name="trial"/>
    <x:tableColumn id="8" name="learning_rate"/>
    <x:tableColumn id="9" name="init_center"/>
    <x:tableColumn id="10" name="init_half_width"/>
    <x:tableColumn id="11" name="tia_r_ohm"/>
    <x:tableColumn id="12" name="search_scope"/>
    <x:tableColumn id="13" name="source_run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Fg50PipelineResults" displayName="Fg50PipelineResults" ref="A1:J7" headerRowCount="1" totalsRowCount="0" totalsRowShown="0">
  <x:tableColumns count="10">
    <x:tableColumn id="1" name="stage"/>
    <x:tableColumn id="2" name="variant"/>
    <x:tableColumn id="3" name="accuracy_percent"/>
    <x:tableColumn id="4" name="loss"/>
    <x:tableColumn id="5" name="improvement_pp"/>
    <x:tableColumn id="6" name="topk"/>
    <x:tableColumn id="7" name="max_tokens_per_layer"/>
    <x:tableColumn id="8" name="coord_block"/>
    <x:tableColumn id="9" name="seed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g50MonteCarloSamples" displayName="Fg50MonteCarloSamples" ref="A1:I201" headerRowCount="1" totalsRowCount="0" totalsRowShown="0">
  <x:tableColumns count="9">
    <x:tableColumn id="1" name="seed"/>
    <x:tableColumn id="2" name="accuracy"/>
    <x:tableColumn id="3" name="loss"/>
    <x:tableColumn id="4" name="images"/>
    <x:tableColumn id="5" name="inference_seconds"/>
    <x:tableColumn id="6" name="realization_seconds"/>
    <x:tableColumn id="7" name="total_physical_cells"/>
    <x:tableColumn id="8" name="singleton_state_cells"/>
    <x:tableColumn id="9" name="unique_raw_curves_us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venanceTable" displayName="ProvenanceTable" ref="A1:D15" headerRowCount="1" totalsRowCount="0" totalsRowShown="0">
  <x:tableColumns count="4">
    <x:tableColumn id="1" name="Category"/>
    <x:tableColumn id="2" name="Field"/>
    <x:tableColumn id="3" name="Value"/>
    <x:tableColumn id="4" name="Interpretation / reproducibilit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713c15c0cf41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11c9bce13f47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f88878c88f40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724dbf0b5f4a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500b5df0194b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753bcfdcc546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57" t="str">
        <x:v>ISA Device Experiments &amp; FG50 Deployment Results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</x:row>
    <x:row r="3" ht="28" customHeight="1">
      <x:c r="A3" s="61" t="str">
        <x:v>Selected device table uses the legacy poorer FeFET fit; the later controlled LR search is retained as a separate comparison.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</x:row>
    <x:row r="4">
      <x:c r="A4" s="70" t="str">
        <x:v>VGG8 ReRAM (selected)</x:v>
      </x:c>
      <x:c r="B4" s="71"/>
      <x:c r="C4" s="72"/>
      <x:c r="D4" s="106" t="str">
        <x:v>VGG8 FeFET (legacy poor fit)</x:v>
      </x:c>
      <x:c r="E4" s="107"/>
      <x:c r="F4" s="108"/>
      <x:c r="G4" s="70" t="str">
        <x:v>FG50 after compensation</x:v>
      </x:c>
      <x:c r="H4" s="71"/>
      <x:c r="I4" s="72"/>
      <x:c r="J4" s="141" t="str">
        <x:v>FG50 MC mean (200 seeds)</x:v>
      </x:c>
      <x:c r="K4" s="142"/>
      <x:c r="L4" s="143"/>
    </x:row>
    <x:row r="5">
      <x:c r="A5" s="92" t="n">
        <x:f>'Selected Device Results'!E7</x:f>
        <x:v>87.5</x:v>
      </x:c>
      <x:c r="B5" s="93"/>
      <x:c r="C5" s="94"/>
      <x:c r="D5" s="128" t="n">
        <x:f>'Selected Device Results'!E10</x:f>
        <x:v>83.79</x:v>
      </x:c>
      <x:c r="E5" s="129"/>
      <x:c r="F5" s="130"/>
      <x:c r="G5" s="92" t="n">
        <x:f>'FG50 Pipeline'!C5</x:f>
        <x:v>71.46</x:v>
      </x:c>
      <x:c r="H5" s="93"/>
      <x:c r="I5" s="94"/>
      <x:c r="J5" s="163" t="n">
        <x:f>AVERAGE('FG50 MC Samples'!B2:B201)</x:f>
        <x:v>66.1091</x:v>
      </x:c>
      <x:c r="K5" s="164"/>
      <x:c r="L5" s="165"/>
    </x:row>
    <x:row r="6">
      <x:c r="A6" s="95"/>
      <x:c r="B6" s="96"/>
      <x:c r="C6" s="97"/>
      <x:c r="D6" s="131"/>
      <x:c r="E6" s="132"/>
      <x:c r="F6" s="133"/>
      <x:c r="G6" s="95"/>
      <x:c r="H6" s="96"/>
      <x:c r="I6" s="97"/>
      <x:c r="J6" s="166"/>
      <x:c r="K6" s="167"/>
      <x:c r="L6" s="168"/>
    </x:row>
    <x:row r="8">
      <x:c r="A8" s="172" t="str">
        <x:v>Device</x:v>
      </x:c>
      <x:c r="B8" s="172" t="str">
        <x:v>Selected historical</x:v>
      </x:c>
      <x:c r="C8" s="172" t="str">
        <x:v>Latest LR search</x:v>
      </x:c>
    </x:row>
    <x:row r="9">
      <x:c r="A9" s="173" t="str">
        <x:v>ReRAM</x:v>
      </x:c>
      <x:c r="B9" s="174" t="n">
        <x:f>'Selected Device Results'!E7</x:f>
        <x:v>87.5</x:v>
      </x:c>
      <x:c r="C9" s="174" t="n">
        <x:f>'Latest LR Search'!E7</x:f>
        <x:v>81.25</x:v>
      </x:c>
    </x:row>
    <x:row r="10">
      <x:c r="A10" s="173" t="str">
        <x:v>PCM</x:v>
      </x:c>
      <x:c r="B10" s="174" t="n">
        <x:f>'Selected Device Results'!E8</x:f>
        <x:v>92.03</x:v>
      </x:c>
      <x:c r="C10" s="174" t="n">
        <x:f>'Latest LR Search'!E8</x:f>
        <x:v>85.89</x:v>
      </x:c>
    </x:row>
    <x:row r="11">
      <x:c r="A11" s="173" t="str">
        <x:v>STT</x:v>
      </x:c>
      <x:c r="B11" s="174" t="n">
        <x:f>'Selected Device Results'!E9</x:f>
        <x:v>89.22</x:v>
      </x:c>
      <x:c r="C11" s="174" t="n">
        <x:f>'Latest LR Search'!E9</x:f>
        <x:v>88.44</x:v>
      </x:c>
    </x:row>
    <x:row r="12">
      <x:c r="A12" s="173" t="str">
        <x:v>FeFET</x:v>
      </x:c>
      <x:c r="B12" s="174" t="n">
        <x:f>'Selected Device Results'!E10</x:f>
        <x:v>83.79</x:v>
      </x:c>
      <x:c r="C12" s="174" t="n">
        <x:f>'Latest LR Search'!E10</x:f>
        <x:v>88.9</x:v>
      </x:c>
    </x:row>
    <x:row r="13">
      <x:c r="A13" s="173" t="str">
        <x:v>Flash</x:v>
      </x:c>
      <x:c r="B13" s="174" t="n">
        <x:f>'Selected Device Results'!E11</x:f>
        <x:v>90.14</x:v>
      </x:c>
      <x:c r="C13" s="174" t="n">
        <x:f>'Latest LR Search'!E11</x:f>
        <x:v>89.6</x:v>
      </x:c>
    </x:row>
    <x:row r="26">
      <x:c r="A26" s="172" t="str">
        <x:v>Deployment stage</x:v>
      </x:c>
      <x:c r="B26" s="172" t="str">
        <x:v>Top-1</x:v>
      </x:c>
    </x:row>
    <x:row r="27">
      <x:c r="A27" s="177" t="str">
        <x:v>Continuous source</x:v>
      </x:c>
      <x:c r="B27" s="178" t="n">
        <x:f>'FG50 Pipeline'!C2</x:f>
        <x:v>72.19</x:v>
      </x:c>
    </x:row>
    <x:row r="28">
      <x:c r="A28" s="177" t="str">
        <x:v>Q-point</x:v>
      </x:c>
      <x:c r="B28" s="178" t="n">
        <x:f>'FG50 Pipeline'!C3</x:f>
        <x:v>54</x:v>
      </x:c>
    </x:row>
    <x:row r="29">
      <x:c r="A29" s="177" t="str">
        <x:v>Activation-aware</x:v>
      </x:c>
      <x:c r="B29" s="178" t="n">
        <x:f>'FG50 Pipeline'!C4</x:f>
        <x:v>65.44</x:v>
      </x:c>
    </x:row>
    <x:row r="30">
      <x:c r="A30" s="177" t="str">
        <x:v>Compensation</x:v>
      </x:c>
      <x:c r="B30" s="178" t="n">
        <x:f>'FG50 Pipeline'!C5</x:f>
        <x:v>71.46</x:v>
      </x:c>
    </x:row>
    <x:row r="31">
      <x:c r="A31" s="177" t="str">
        <x:v>MC mean</x:v>
      </x:c>
      <x:c r="B31" s="178" t="n">
        <x:f>AVERAGE('FG50 MC Samples'!B2:B201)</x:f>
        <x:v>66.1091</x:v>
      </x:c>
    </x:row>
    <x:row r="43">
      <x:c r="A43" s="197" t="str">
        <x:v>Interpretation: 24-state Q-point snapping causes the largest accuracy loss. Activation-aware per-layer assignment recovers 11.44 percentage points, fixed-assignment compensation restores performance to 71.46%, and raw-member variability lowers the 200-seed mean to 66.11%.</x:v>
      </x:c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9"/>
    </x:row>
    <x:row r="44">
      <x:c r="A44" s="200"/>
      <x:c r="B44" s="201"/>
      <x:c r="C44" s="201"/>
      <x:c r="D44" s="201"/>
      <x:c r="E44" s="201"/>
      <x:c r="F44" s="201"/>
      <x:c r="G44" s="201"/>
      <x:c r="H44" s="201"/>
      <x:c r="I44" s="201"/>
      <x:c r="J44" s="201"/>
      <x:c r="K44" s="201"/>
      <x:c r="L44" s="202"/>
    </x:row>
    <x:row r="45">
      <x:c r="A45" s="200"/>
      <x:c r="B45" s="201"/>
      <x:c r="C45" s="201"/>
      <x:c r="D45" s="201"/>
      <x:c r="E45" s="201"/>
      <x:c r="F45" s="201"/>
      <x:c r="G45" s="201"/>
      <x:c r="H45" s="201"/>
      <x:c r="I45" s="201"/>
      <x:c r="J45" s="201"/>
      <x:c r="K45" s="201"/>
      <x:c r="L45" s="202"/>
    </x:row>
    <x:row r="46">
      <x:c r="A46" s="203"/>
      <x:c r="B46" s="204"/>
      <x:c r="C46" s="204"/>
      <x:c r="D46" s="204"/>
      <x:c r="E46" s="204"/>
      <x:c r="F46" s="204"/>
      <x:c r="G46" s="204"/>
      <x:c r="H46" s="204"/>
      <x:c r="I46" s="204"/>
      <x:c r="J46" s="204"/>
      <x:c r="K46" s="204"/>
      <x:c r="L46" s="205"/>
    </x:row>
  </x:sheetData>
  <x:mergeCells>
    <x:mergeCell ref="A1:L2"/>
    <x:mergeCell ref="A3:L3"/>
    <x:mergeCell ref="A4:C4"/>
    <x:mergeCell ref="A5:C6"/>
    <x:mergeCell ref="D4:F4"/>
    <x:mergeCell ref="D5:F6"/>
    <x:mergeCell ref="G4:I4"/>
    <x:mergeCell ref="G5:I6"/>
    <x:mergeCell ref="J4:L4"/>
    <x:mergeCell ref="J5:L6"/>
    <x:mergeCell ref="A43:L46"/>
  </x:mergeCells>
  <x:pageMargins left="0.7" right="0.7" top="0.75" bottom="0.75" header="0.3" footer="0.3"/>
  <x:drawing xmlns:r="http://schemas.openxmlformats.org/officeDocument/2006/relationships" r:id="R7e713c15c0cf41d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16" hidden="0" customWidth="1"/>
    <x:col min="5" max="5" width="15" hidden="0" customWidth="1"/>
    <x:col min="6" max="6" width="11" hidden="0" customWidth="1"/>
    <x:col min="7" max="7" width="9" hidden="0" customWidth="1"/>
    <x:col min="8" max="8" width="9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1" hidden="0" customWidth="1"/>
    <x:col min="14" max="14" width="18" hidden="0" customWidth="1"/>
    <x:col min="15" max="15" width="24" hidden="0" customWidth="1"/>
    <x:col min="16" max="16" width="45" hidden="0" customWidth="1"/>
    <x:col min="17" max="17" width="23" hidden="0" customWidth="1"/>
  </x:cols>
  <x:sheetData>
    <x:row r="1" ht="32" customHeight="1">
      <x:c r="A1" s="11" t="str">
        <x:v>architecture</x:v>
      </x:c>
      <x:c r="B1" s="12" t="str">
        <x:v>dataset</x:v>
      </x:c>
      <x:c r="C1" s="12" t="str">
        <x:v>device</x:v>
      </x:c>
      <x:c r="D1" s="12" t="str">
        <x:v>best_val_accuracy</x:v>
      </x:c>
      <x:c r="E1" s="12" t="str">
        <x:v>best_val_percent</x:v>
      </x:c>
      <x:c r="F1" s="12" t="str">
        <x:v>best_epoch</x:v>
      </x:c>
      <x:c r="G1" s="12" t="str">
        <x:v>epochs</x:v>
      </x:c>
      <x:c r="H1" s="12" t="str">
        <x:v>trial</x:v>
      </x:c>
      <x:c r="I1" s="12" t="str">
        <x:v>learning_rate</x:v>
      </x:c>
      <x:c r="J1" s="12" t="str">
        <x:v>label_smoothing</x:v>
      </x:c>
      <x:c r="K1" s="12" t="str">
        <x:v>weight_decay</x:v>
      </x:c>
      <x:c r="L1" s="12" t="str">
        <x:v>tia_r_ohm</x:v>
      </x:c>
      <x:c r="M1" s="12" t="str">
        <x:v>initialization_parameter</x:v>
      </x:c>
      <x:c r="N1" s="12" t="str">
        <x:v>initialization_value</x:v>
      </x:c>
      <x:c r="O1" s="12" t="str">
        <x:v>fefet_fit_group</x:v>
      </x:c>
      <x:c r="P1" s="12" t="str">
        <x:v>source_run</x:v>
      </x:c>
      <x:c r="Q1" s="13" t="str">
        <x:v>source_kind</x:v>
      </x:c>
    </x:row>
    <x:row r="2">
      <x:c r="A2" s="18" t="str">
        <x:v>MLP</x:v>
      </x:c>
      <x:c r="B2" s="18" t="str">
        <x:v>MNIST</x:v>
      </x:c>
      <x:c r="C2" s="18" t="str">
        <x:v>ReRAM</x:v>
      </x:c>
      <x:c r="D2" s="19" t="n">
        <x:v>0.9795</x:v>
      </x:c>
      <x:c r="E2" s="20" t="n">
        <x:v>97.95</x:v>
      </x:c>
      <x:c r="F2" s="18" t="n">
        <x:v>47</x:v>
      </x:c>
      <x:c r="G2" s="18" t="n">
        <x:v>50</x:v>
      </x:c>
      <x:c r="H2" s="18" t="n">
        <x:v>0</x:v>
      </x:c>
      <x:c r="I2" s="21" t="n">
        <x:v>0.00013177025</x:v>
      </x:c>
      <x:c r="J2" s="21" t="n">
        <x:v>0.073268148</x:v>
      </x:c>
      <x:c r="K2" s="21" t="n">
        <x:v>0.000019817369</x:v>
      </x:c>
      <x:c r="L2" s="22" t="n">
        <x:v>29209.942</x:v>
      </x:c>
      <x:c r="M2" s="18" t="str">
        <x:v>w_init_max</x:v>
      </x:c>
      <x:c r="N2" s="18" t="n">
        <x:v>0.055429803</x:v>
      </x:c>
      <x:c r="O2" s="18" t="str">
        <x:v>not_applicable</x:v>
      </x:c>
      <x:c r="P2" s="18" t="str">
        <x:v>20260525_122217/mlp/mnist/reram</x:v>
      </x:c>
      <x:c r="Q2" s="18" t="str">
        <x:v>summary_and_trial_csv</x:v>
      </x:c>
    </x:row>
    <x:row r="3">
      <x:c r="A3" s="23" t="str">
        <x:v>MLP</x:v>
      </x:c>
      <x:c r="B3" s="23" t="str">
        <x:v>MNIST</x:v>
      </x:c>
      <x:c r="C3" s="23" t="str">
        <x:v>PCM</x:v>
      </x:c>
      <x:c r="D3" s="24" t="n">
        <x:v>0.9799</x:v>
      </x:c>
      <x:c r="E3" s="25" t="n">
        <x:v>97.99</x:v>
      </x:c>
      <x:c r="F3" s="23" t="n">
        <x:v>41</x:v>
      </x:c>
      <x:c r="G3" s="23" t="n">
        <x:v>50</x:v>
      </x:c>
      <x:c r="H3" s="23" t="n">
        <x:v>14</x:v>
      </x:c>
      <x:c r="I3" s="26" t="n">
        <x:v>0.001413395</x:v>
      </x:c>
      <x:c r="J3" s="26" t="n">
        <x:v>0.051704551</x:v>
      </x:c>
      <x:c r="K3" s="26" t="n">
        <x:v>0.000065402097</x:v>
      </x:c>
      <x:c r="L3" s="27" t="n">
        <x:v>633383.12</x:v>
      </x:c>
      <x:c r="M3" s="23" t="str">
        <x:v>w_init_max</x:v>
      </x:c>
      <x:c r="N3" s="23" t="n">
        <x:v>0.17500166</x:v>
      </x:c>
      <x:c r="O3" s="23" t="str">
        <x:v>not_applicable</x:v>
      </x:c>
      <x:c r="P3" s="23" t="str">
        <x:v>20260525_122217/mlp/mnist/pcm</x:v>
      </x:c>
      <x:c r="Q3" s="23" t="str">
        <x:v>summary_and_trial_csv</x:v>
      </x:c>
    </x:row>
    <x:row r="4">
      <x:c r="A4" s="23" t="str">
        <x:v>MLP</x:v>
      </x:c>
      <x:c r="B4" s="23" t="str">
        <x:v>MNIST</x:v>
      </x:c>
      <x:c r="C4" s="23" t="str">
        <x:v>STT</x:v>
      </x:c>
      <x:c r="D4" s="24" t="n">
        <x:v>0.9718</x:v>
      </x:c>
      <x:c r="E4" s="25" t="n">
        <x:v>97.18</x:v>
      </x:c>
      <x:c r="F4" s="23" t="n">
        <x:v>49</x:v>
      </x:c>
      <x:c r="G4" s="23" t="n">
        <x:v>50</x:v>
      </x:c>
      <x:c r="H4" s="23" t="n">
        <x:v>8</x:v>
      </x:c>
      <x:c r="I4" s="26" t="n">
        <x:v>0.00015344224</x:v>
      </x:c>
      <x:c r="J4" s="26" t="n">
        <x:v>0.047899811</x:v>
      </x:c>
      <x:c r="K4" s="26" t="n">
        <x:v>0.0000022320739</x:v>
      </x:c>
      <x:c r="L4" s="27" t="n">
        <x:v>10497.144</x:v>
      </x:c>
      <x:c r="M4" s="23" t="str">
        <x:v>w_init_max</x:v>
      </x:c>
      <x:c r="N4" s="23" t="n">
        <x:v>0.13888446</x:v>
      </x:c>
      <x:c r="O4" s="23" t="str">
        <x:v>not_applicable</x:v>
      </x:c>
      <x:c r="P4" s="23" t="str">
        <x:v>20260525_122217/mlp/mnist/stt</x:v>
      </x:c>
      <x:c r="Q4" s="23" t="str">
        <x:v>summary_and_trial_csv</x:v>
      </x:c>
    </x:row>
    <x:row r="5">
      <x:c r="A5" s="23" t="str">
        <x:v>MLP</x:v>
      </x:c>
      <x:c r="B5" s="23" t="str">
        <x:v>MNIST</x:v>
      </x:c>
      <x:c r="C5" s="23" t="str">
        <x:v>FeFET</x:v>
      </x:c>
      <x:c r="D5" s="24" t="n">
        <x:v>0.9499</x:v>
      </x:c>
      <x:c r="E5" s="25" t="n">
        <x:v>94.99</x:v>
      </x:c>
      <x:c r="F5" s="23" t="n">
        <x:v>48</x:v>
      </x:c>
      <x:c r="G5" s="23" t="n">
        <x:v>50</x:v>
      </x:c>
      <x:c r="H5" s="23" t="n">
        <x:v>2</x:v>
      </x:c>
      <x:c r="I5" s="26" t="n">
        <x:v>0.00018891365</x:v>
      </x:c>
      <x:c r="J5" s="26" t="n">
        <x:v>0.07250696</x:v>
      </x:c>
      <x:c r="K5" s="26" t="n">
        <x:v>0.0000021975747</x:v>
      </x:c>
      <x:c r="L5" s="27" t="n">
        <x:v>60563.235</x:v>
      </x:c>
      <x:c r="M5" s="23" t="str">
        <x:v>w_init_max</x:v>
      </x:c>
      <x:c r="N5" s="23" t="n">
        <x:v>0.26411641</x:v>
      </x:c>
      <x:c r="O5" s="23" t="str">
        <x:v>legacy_poor_fit_20260528</x:v>
      </x:c>
      <x:c r="P5" s="23" t="str">
        <x:v>20260528_112334_fefet_flash_focus/mlp/mnist/fefet</x:v>
      </x:c>
      <x:c r="Q5" s="23" t="str">
        <x:v>summary_and_trial_csv</x:v>
      </x:c>
    </x:row>
    <x:row r="6">
      <x:c r="A6" s="23" t="str">
        <x:v>MLP</x:v>
      </x:c>
      <x:c r="B6" s="23" t="str">
        <x:v>MNIST</x:v>
      </x:c>
      <x:c r="C6" s="23" t="str">
        <x:v>Flash</x:v>
      </x:c>
      <x:c r="D6" s="24" t="n">
        <x:v>0.9669</x:v>
      </x:c>
      <x:c r="E6" s="25" t="n">
        <x:v>96.69</x:v>
      </x:c>
      <x:c r="F6" s="23" t="n">
        <x:v>23</x:v>
      </x:c>
      <x:c r="G6" s="23" t="n">
        <x:v>50</x:v>
      </x:c>
      <x:c r="H6" s="23" t="n">
        <x:v>13</x:v>
      </x:c>
      <x:c r="I6" s="26" t="n">
        <x:v>0.0004838909</x:v>
      </x:c>
      <x:c r="J6" s="26" t="n">
        <x:v>0.037524159</x:v>
      </x:c>
      <x:c r="K6" s="26" t="n">
        <x:v>0.000028342539</x:v>
      </x:c>
      <x:c r="L6" s="27" t="n">
        <x:v>2675867.6</x:v>
      </x:c>
      <x:c r="M6" s="23" t="str">
        <x:v>w_init_max</x:v>
      </x:c>
      <x:c r="N6" s="23" t="n">
        <x:v>0.59745886</x:v>
      </x:c>
      <x:c r="O6" s="23" t="str">
        <x:v>not_applicable</x:v>
      </x:c>
      <x:c r="P6" s="23" t="str">
        <x:v>20260528_112334_fefet_flash_focus/mlp/mnist/flash</x:v>
      </x:c>
      <x:c r="Q6" s="23" t="str">
        <x:v>summary_and_trial_csv</x:v>
      </x:c>
    </x:row>
    <x:row r="7">
      <x:c r="A7" s="23" t="str">
        <x:v>VGG8</x:v>
      </x:c>
      <x:c r="B7" s="23" t="str">
        <x:v>CIFAR-10</x:v>
      </x:c>
      <x:c r="C7" s="23" t="str">
        <x:v>ReRAM</x:v>
      </x:c>
      <x:c r="D7" s="24" t="n">
        <x:v>0.875</x:v>
      </x:c>
      <x:c r="E7" s="25" t="n">
        <x:v>87.5</x:v>
      </x:c>
      <x:c r="F7" s="23" t="n">
        <x:v>190</x:v>
      </x:c>
      <x:c r="G7" s="23" t="n">
        <x:v>200</x:v>
      </x:c>
      <x:c r="H7" s="23" t="n">
        <x:v>2</x:v>
      </x:c>
      <x:c r="I7" s="26" t="n">
        <x:v>0.000159785</x:v>
      </x:c>
      <x:c r="J7" s="26" t="n">
        <x:v>0.012038668</x:v>
      </x:c>
      <x:c r="K7" s="26" t="n">
        <x:v>0.000072217549</x:v>
      </x:c>
      <x:c r="L7" s="27" t="n">
        <x:v>461.32357</x:v>
      </x:c>
      <x:c r="M7" s="23" t="str">
        <x:v>w_init_max</x:v>
      </x:c>
      <x:c r="N7" s="23" t="n">
        <x:v>0.05940663</x:v>
      </x:c>
      <x:c r="O7" s="23" t="str">
        <x:v>not_applicable</x:v>
      </x:c>
      <x:c r="P7" s="23" t="str">
        <x:v>20260525_122217/vgg8/cifar10/reram</x:v>
      </x:c>
      <x:c r="Q7" s="23" t="str">
        <x:v>summary_and_trial_csv</x:v>
      </x:c>
    </x:row>
    <x:row r="8">
      <x:c r="A8" s="23" t="str">
        <x:v>VGG8</x:v>
      </x:c>
      <x:c r="B8" s="23" t="str">
        <x:v>CIFAR-10</x:v>
      </x:c>
      <x:c r="C8" s="23" t="str">
        <x:v>PCM</x:v>
      </x:c>
      <x:c r="D8" s="24" t="n">
        <x:v>0.9203</x:v>
      </x:c>
      <x:c r="E8" s="25" t="n">
        <x:v>92.03</x:v>
      </x:c>
      <x:c r="F8" s="23" t="n">
        <x:v>177</x:v>
      </x:c>
      <x:c r="G8" s="23" t="n">
        <x:v>200</x:v>
      </x:c>
      <x:c r="H8" s="23" t="n">
        <x:v>12</x:v>
      </x:c>
      <x:c r="I8" s="26" t="n">
        <x:v>0.00044810279</x:v>
      </x:c>
      <x:c r="J8" s="26" t="n">
        <x:v>0.079049558</x:v>
      </x:c>
      <x:c r="K8" s="26" t="n">
        <x:v>0.00003713135</x:v>
      </x:c>
      <x:c r="L8" s="27" t="n">
        <x:v>6983712.9</x:v>
      </x:c>
      <x:c r="M8" s="23" t="str">
        <x:v>w_init_max</x:v>
      </x:c>
      <x:c r="N8" s="23" t="n">
        <x:v>0.012674463</x:v>
      </x:c>
      <x:c r="O8" s="23" t="str">
        <x:v>not_applicable</x:v>
      </x:c>
      <x:c r="P8" s="23" t="str">
        <x:v>20260525_122217/vgg8/cifar10/pcm</x:v>
      </x:c>
      <x:c r="Q8" s="23" t="str">
        <x:v>summary_and_trial_csv</x:v>
      </x:c>
    </x:row>
    <x:row r="9">
      <x:c r="A9" s="23" t="str">
        <x:v>VGG8</x:v>
      </x:c>
      <x:c r="B9" s="23" t="str">
        <x:v>CIFAR-10</x:v>
      </x:c>
      <x:c r="C9" s="23" t="str">
        <x:v>STT</x:v>
      </x:c>
      <x:c r="D9" s="24" t="n">
        <x:v>0.8922</x:v>
      </x:c>
      <x:c r="E9" s="25" t="n">
        <x:v>89.22</x:v>
      </x:c>
      <x:c r="F9" s="23" t="n">
        <x:v>170</x:v>
      </x:c>
      <x:c r="G9" s="23" t="n">
        <x:v>200</x:v>
      </x:c>
      <x:c r="H9" s="23" t="n">
        <x:v>17</x:v>
      </x:c>
      <x:c r="I9" s="26" t="n">
        <x:v>0.001000001</x:v>
      </x:c>
      <x:c r="J9" s="26" t="n">
        <x:v>0.037789361</x:v>
      </x:c>
      <x:c r="K9" s="26" t="n">
        <x:v>0.0000010915707</x:v>
      </x:c>
      <x:c r="L9" s="27" t="n">
        <x:v>2950.9413</x:v>
      </x:c>
      <x:c r="M9" s="23" t="str">
        <x:v>w_init_max</x:v>
      </x:c>
      <x:c r="N9" s="23" t="n">
        <x:v>0.083713084</x:v>
      </x:c>
      <x:c r="O9" s="23" t="str">
        <x:v>not_applicable</x:v>
      </x:c>
      <x:c r="P9" s="23" t="str">
        <x:v>20260525_122217/vgg8/cifar10/stt</x:v>
      </x:c>
      <x:c r="Q9" s="23" t="str">
        <x:v>summary_and_trial_csv</x:v>
      </x:c>
    </x:row>
    <x:row r="10">
      <x:c r="A10" s="23" t="str">
        <x:v>VGG8</x:v>
      </x:c>
      <x:c r="B10" s="23" t="str">
        <x:v>CIFAR-10</x:v>
      </x:c>
      <x:c r="C10" s="23" t="str">
        <x:v>FeFET</x:v>
      </x:c>
      <x:c r="D10" s="24" t="n">
        <x:v>0.8379</x:v>
      </x:c>
      <x:c r="E10" s="25" t="n">
        <x:v>83.79</x:v>
      </x:c>
      <x:c r="F10" s="23" t="n">
        <x:v>193</x:v>
      </x:c>
      <x:c r="G10" s="23" t="n">
        <x:v>200</x:v>
      </x:c>
      <x:c r="H10" s="23" t="n">
        <x:v>1</x:v>
      </x:c>
      <x:c r="I10" s="26" t="n">
        <x:v>0.0037299727</x:v>
      </x:c>
      <x:c r="J10" s="26" t="n">
        <x:v>0.057022542</x:v>
      </x:c>
      <x:c r="K10" s="26" t="n">
        <x:v>0.000010289164</x:v>
      </x:c>
      <x:c r="L10" s="27" t="n">
        <x:v>28159.283</x:v>
      </x:c>
      <x:c r="M10" s="23" t="str">
        <x:v>w_init_max</x:v>
      </x:c>
      <x:c r="N10" s="23" t="n">
        <x:v>0.73713633</x:v>
      </x:c>
      <x:c r="O10" s="23" t="str">
        <x:v>legacy_poor_fit_20260529</x:v>
      </x:c>
      <x:c r="P10" s="23" t="str">
        <x:v>20260529_113836_fefet_flash_vgg8_focus/vgg8/cifar10/fefet</x:v>
      </x:c>
      <x:c r="Q10" s="23" t="str">
        <x:v>summary_and_trial_csv</x:v>
      </x:c>
    </x:row>
    <x:row r="11">
      <x:c r="A11" s="28" t="str">
        <x:v>VGG8</x:v>
      </x:c>
      <x:c r="B11" s="28" t="str">
        <x:v>CIFAR-10</x:v>
      </x:c>
      <x:c r="C11" s="28" t="str">
        <x:v>Flash</x:v>
      </x:c>
      <x:c r="D11" s="29" t="n">
        <x:v>0.9014</x:v>
      </x:c>
      <x:c r="E11" s="30" t="n">
        <x:v>90.14</x:v>
      </x:c>
      <x:c r="F11" s="28" t="n">
        <x:v>182</x:v>
      </x:c>
      <x:c r="G11" s="28" t="n">
        <x:v>200</x:v>
      </x:c>
      <x:c r="H11" s="28" t="n">
        <x:v>10</x:v>
      </x:c>
      <x:c r="I11" s="31" t="n">
        <x:v>0.0021589198</x:v>
      </x:c>
      <x:c r="J11" s="31" t="n">
        <x:v>0.033024298</x:v>
      </x:c>
      <x:c r="K11" s="31" t="n">
        <x:v>0.000064717621</x:v>
      </x:c>
      <x:c r="L11" s="32" t="n">
        <x:v>7726407.6</x:v>
      </x:c>
      <x:c r="M11" s="28" t="str">
        <x:v>w_init_max</x:v>
      </x:c>
      <x:c r="N11" s="28" t="n">
        <x:v>0.93350419</x:v>
      </x:c>
      <x:c r="O11" s="28" t="str">
        <x:v>not_applicable</x:v>
      </x:c>
      <x:c r="P11" s="28" t="str">
        <x:v>20260529_113836_fefet_flash_vgg8_focus/vgg8/cifar10/flash</x:v>
      </x:c>
      <x:c r="Q11" s="28" t="str">
        <x:v>trial_csv_recovered</x:v>
      </x:c>
    </x:row>
  </x:sheetData>
  <x:conditionalFormatting sqref="E2:E1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{6C6F3E8D-AB73-9676-401B-4F30E307BCF4}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211c9bce13f476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6F3E8D-AB73-9676-401B-4F30E307BCF4}">
            <x14:dataBar gradient="1">
              <x14:cfvo type="min"/>
              <x14:cfvo type="max"/>
              <x14:fillColor rgb="FF0F766E"/>
            </x14:dataBar>
          </x14:cfRule>
          <xm:sqref>E2:E11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16" hidden="0" customWidth="1"/>
    <x:col min="5" max="5" width="15" hidden="0" customWidth="1"/>
    <x:col min="6" max="6" width="9" hidden="0" customWidth="1"/>
    <x:col min="7" max="7" width="9" hidden="0" customWidth="1"/>
    <x:col min="8" max="8" width="17" hidden="0" customWidth="1"/>
    <x:col min="9" max="9" width="14" hidden="0" customWidth="1"/>
    <x:col min="10" max="10" width="17" hidden="0" customWidth="1"/>
    <x:col min="11" max="11" width="15" hidden="0" customWidth="1"/>
    <x:col min="12" max="12" width="31" hidden="0" customWidth="1"/>
    <x:col min="13" max="13" width="42" hidden="0" customWidth="1"/>
  </x:cols>
  <x:sheetData>
    <x:row r="1" ht="32" customHeight="1">
      <x:c r="A1" s="11" t="str">
        <x:v>architecture</x:v>
      </x:c>
      <x:c r="B1" s="12" t="str">
        <x:v>dataset</x:v>
      </x:c>
      <x:c r="C1" s="12" t="str">
        <x:v>device</x:v>
      </x:c>
      <x:c r="D1" s="12" t="str">
        <x:v>best_val_accuracy</x:v>
      </x:c>
      <x:c r="E1" s="12" t="str">
        <x:v>best_val_percent</x:v>
      </x:c>
      <x:c r="F1" s="12" t="str">
        <x:v>epochs</x:v>
      </x:c>
      <x:c r="G1" s="12" t="str">
        <x:v>trial</x:v>
      </x:c>
      <x:c r="H1" s="12" t="str">
        <x:v>learning_rate</x:v>
      </x:c>
      <x:c r="I1" s="12" t="str">
        <x:v>init_center</x:v>
      </x:c>
      <x:c r="J1" s="12" t="str">
        <x:v>init_half_width</x:v>
      </x:c>
      <x:c r="K1" s="12" t="str">
        <x:v>tia_r_ohm</x:v>
      </x:c>
      <x:c r="L1" s="12" t="str">
        <x:v>search_scope</x:v>
      </x:c>
      <x:c r="M1" s="13" t="str">
        <x:v>source_run</x:v>
      </x:c>
    </x:row>
    <x:row r="2">
      <x:c r="A2" s="18" t="str">
        <x:v>MLP</x:v>
      </x:c>
      <x:c r="B2" s="18" t="str">
        <x:v>MNIST</x:v>
      </x:c>
      <x:c r="C2" s="18" t="str">
        <x:v>ReRAM</x:v>
      </x:c>
      <x:c r="D2" s="19" t="n">
        <x:v>0.9775999784</x:v>
      </x:c>
      <x:c r="E2" s="20" t="n">
        <x:v>97.76</x:v>
      </x:c>
      <x:c r="F2" s="18" t="n">
        <x:v>200</x:v>
      </x:c>
      <x:c r="G2" s="18" t="n">
        <x:v>19</x:v>
      </x:c>
      <x:c r="H2" s="21" t="n">
        <x:v>0.000191986779</x:v>
      </x:c>
      <x:c r="I2" s="21" t="n">
        <x:v>0.605567239</x:v>
      </x:c>
      <x:c r="J2" s="21" t="n">
        <x:v>0.013506702</x:v>
      </x:c>
      <x:c r="K2" s="21" t="n">
        <x:v>23783.2831</x:v>
      </x:c>
      <x:c r="L2" s="18" t="str">
        <x:v>lr_center_half_width_tia_r</x:v>
      </x:c>
      <x:c r="M2" s="18" t="str">
        <x:v>paper_search_lr_20260729/mlp/reram</x:v>
      </x:c>
    </x:row>
    <x:row r="3">
      <x:c r="A3" s="23" t="str">
        <x:v>MLP</x:v>
      </x:c>
      <x:c r="B3" s="23" t="str">
        <x:v>MNIST</x:v>
      </x:c>
      <x:c r="C3" s="23" t="str">
        <x:v>PCM</x:v>
      </x:c>
      <x:c r="D3" s="24" t="n">
        <x:v>0.9746999741</x:v>
      </x:c>
      <x:c r="E3" s="25" t="n">
        <x:v>97.47</x:v>
      </x:c>
      <x:c r="F3" s="23" t="n">
        <x:v>200</x:v>
      </x:c>
      <x:c r="G3" s="23" t="n">
        <x:v>19</x:v>
      </x:c>
      <x:c r="H3" s="26" t="n">
        <x:v>0.000394998555</x:v>
      </x:c>
      <x:c r="I3" s="26" t="n">
        <x:v>0.033945072</x:v>
      </x:c>
      <x:c r="J3" s="26" t="n">
        <x:v>0.02039936</x:v>
      </x:c>
      <x:c r="K3" s="26" t="n">
        <x:v>641.7878</x:v>
      </x:c>
      <x:c r="L3" s="23" t="str">
        <x:v>lr_center_half_width_tia_r</x:v>
      </x:c>
      <x:c r="M3" s="23" t="str">
        <x:v>paper_search_lr_20260729/mlp/pcm</x:v>
      </x:c>
    </x:row>
    <x:row r="4">
      <x:c r="A4" s="23" t="str">
        <x:v>MLP</x:v>
      </x:c>
      <x:c r="B4" s="23" t="str">
        <x:v>MNIST</x:v>
      </x:c>
      <x:c r="C4" s="23" t="str">
        <x:v>STT</x:v>
      </x:c>
      <x:c r="D4" s="24" t="n">
        <x:v>0.9772999883</x:v>
      </x:c>
      <x:c r="E4" s="25" t="n">
        <x:v>97.73</x:v>
      </x:c>
      <x:c r="F4" s="23" t="n">
        <x:v>200</x:v>
      </x:c>
      <x:c r="G4" s="23" t="n">
        <x:v>11</x:v>
      </x:c>
      <x:c r="H4" s="26" t="n">
        <x:v>0.00090926001</x:v>
      </x:c>
      <x:c r="I4" s="26" t="n">
        <x:v>0.468720556</x:v>
      </x:c>
      <x:c r="J4" s="26" t="n">
        <x:v>0.250237225</x:v>
      </x:c>
      <x:c r="K4" s="26" t="n">
        <x:v>2998.7718</x:v>
      </x:c>
      <x:c r="L4" s="23" t="str">
        <x:v>lr_center_half_width_tia_r</x:v>
      </x:c>
      <x:c r="M4" s="23" t="str">
        <x:v>paper_search_lr_20260729/mlp/stt</x:v>
      </x:c>
    </x:row>
    <x:row r="5">
      <x:c r="A5" s="23" t="str">
        <x:v>MLP</x:v>
      </x:c>
      <x:c r="B5" s="23" t="str">
        <x:v>MNIST</x:v>
      </x:c>
      <x:c r="C5" s="23" t="str">
        <x:v>FeFET</x:v>
      </x:c>
      <x:c r="D5" s="24" t="n">
        <x:v>0.9670000076</x:v>
      </x:c>
      <x:c r="E5" s="25" t="n">
        <x:v>96.7</x:v>
      </x:c>
      <x:c r="F5" s="23" t="n">
        <x:v>200</x:v>
      </x:c>
      <x:c r="G5" s="23" t="n">
        <x:v>16</x:v>
      </x:c>
      <x:c r="H5" s="26" t="n">
        <x:v>0.001409123559</x:v>
      </x:c>
      <x:c r="I5" s="26" t="n">
        <x:v>3.143691222</x:v>
      </x:c>
      <x:c r="J5" s="26" t="n">
        <x:v>0.116593957</x:v>
      </x:c>
      <x:c r="K5" s="26" t="n">
        <x:v>106.0643</x:v>
      </x:c>
      <x:c r="L5" s="23" t="str">
        <x:v>lr_center_half_width_tia_r</x:v>
      </x:c>
      <x:c r="M5" s="23" t="str">
        <x:v>paper_search_lr_20260729/mlp/fefet</x:v>
      </x:c>
    </x:row>
    <x:row r="6">
      <x:c r="A6" s="23" t="str">
        <x:v>MLP</x:v>
      </x:c>
      <x:c r="B6" s="23" t="str">
        <x:v>MNIST</x:v>
      </x:c>
      <x:c r="C6" s="23" t="str">
        <x:v>Flash</x:v>
      </x:c>
      <x:c r="D6" s="24" t="n">
        <x:v>0.9799000025</x:v>
      </x:c>
      <x:c r="E6" s="25" t="n">
        <x:v>97.99</x:v>
      </x:c>
      <x:c r="F6" s="23" t="n">
        <x:v>200</x:v>
      </x:c>
      <x:c r="G6" s="23" t="n">
        <x:v>11</x:v>
      </x:c>
      <x:c r="H6" s="26" t="n">
        <x:v>0.001947114435</x:v>
      </x:c>
      <x:c r="I6" s="26" t="n">
        <x:v>1.44300412</x:v>
      </x:c>
      <x:c r="J6" s="26" t="n">
        <x:v>0.455725552</x:v>
      </x:c>
      <x:c r="K6" s="26" t="n">
        <x:v>16600.1121</x:v>
      </x:c>
      <x:c r="L6" s="23" t="str">
        <x:v>lr_center_half_width_tia_r</x:v>
      </x:c>
      <x:c r="M6" s="23" t="str">
        <x:v>paper_search_lr_20260729/mlp/flash</x:v>
      </x:c>
    </x:row>
    <x:row r="7">
      <x:c r="A7" s="23" t="str">
        <x:v>VGG8</x:v>
      </x:c>
      <x:c r="B7" s="23" t="str">
        <x:v>CIFAR-10</x:v>
      </x:c>
      <x:c r="C7" s="23" t="str">
        <x:v>ReRAM</x:v>
      </x:c>
      <x:c r="D7" s="24" t="n">
        <x:v>0.8125</x:v>
      </x:c>
      <x:c r="E7" s="25" t="n">
        <x:v>81.25</x:v>
      </x:c>
      <x:c r="F7" s="23" t="n">
        <x:v>200</x:v>
      </x:c>
      <x:c r="G7" s="23" t="n">
        <x:v>18</x:v>
      </x:c>
      <x:c r="H7" s="26" t="n">
        <x:v>0.00005140521</x:v>
      </x:c>
      <x:c r="I7" s="26" t="n">
        <x:v>0.605722504</x:v>
      </x:c>
      <x:c r="J7" s="26" t="n">
        <x:v>0.041907749</x:v>
      </x:c>
      <x:c r="K7" s="26" t="n">
        <x:v>279.4079</x:v>
      </x:c>
      <x:c r="L7" s="23" t="str">
        <x:v>lr_center_half_width_tia_r</x:v>
      </x:c>
      <x:c r="M7" s="23" t="str">
        <x:v>paper_search_lr_20260729/vgg8/reram</x:v>
      </x:c>
    </x:row>
    <x:row r="8">
      <x:c r="A8" s="23" t="str">
        <x:v>VGG8</x:v>
      </x:c>
      <x:c r="B8" s="23" t="str">
        <x:v>CIFAR-10</x:v>
      </x:c>
      <x:c r="C8" s="23" t="str">
        <x:v>PCM</x:v>
      </x:c>
      <x:c r="D8" s="24" t="n">
        <x:v>0.8589000106</x:v>
      </x:c>
      <x:c r="E8" s="25" t="n">
        <x:v>85.89</x:v>
      </x:c>
      <x:c r="F8" s="23" t="n">
        <x:v>200</x:v>
      </x:c>
      <x:c r="G8" s="23" t="n">
        <x:v>8</x:v>
      </x:c>
      <x:c r="H8" s="26" t="n">
        <x:v>0.000022503137</x:v>
      </x:c>
      <x:c r="I8" s="26" t="n">
        <x:v>0.017297508</x:v>
      </x:c>
      <x:c r="J8" s="26" t="n">
        <x:v>0.00524242</x:v>
      </x:c>
      <x:c r="K8" s="26" t="n">
        <x:v>650.6604</x:v>
      </x:c>
      <x:c r="L8" s="23" t="str">
        <x:v>lr_center_half_width_tia_r</x:v>
      </x:c>
      <x:c r="M8" s="23" t="str">
        <x:v>paper_search_lr_20260729/vgg8/pcm</x:v>
      </x:c>
    </x:row>
    <x:row r="9">
      <x:c r="A9" s="23" t="str">
        <x:v>VGG8</x:v>
      </x:c>
      <x:c r="B9" s="23" t="str">
        <x:v>CIFAR-10</x:v>
      </x:c>
      <x:c r="C9" s="23" t="str">
        <x:v>STT</x:v>
      </x:c>
      <x:c r="D9" s="24" t="n">
        <x:v>0.8844000101</x:v>
      </x:c>
      <x:c r="E9" s="25" t="n">
        <x:v>88.44</x:v>
      </x:c>
      <x:c r="F9" s="23" t="n">
        <x:v>200</x:v>
      </x:c>
      <x:c r="G9" s="23" t="n">
        <x:v>9</x:v>
      </x:c>
      <x:c r="H9" s="26" t="n">
        <x:v>0.002495320158</x:v>
      </x:c>
      <x:c r="I9" s="26" t="n">
        <x:v>2.343033425</x:v>
      </x:c>
      <x:c r="J9" s="26" t="n">
        <x:v>0.055643056</x:v>
      </x:c>
      <x:c r="K9" s="26" t="n">
        <x:v>1671.1635</x:v>
      </x:c>
      <x:c r="L9" s="23" t="str">
        <x:v>lr_center_half_width_tia_r</x:v>
      </x:c>
      <x:c r="M9" s="23" t="str">
        <x:v>paper_search_lr_20260729/vgg8/stt</x:v>
      </x:c>
    </x:row>
    <x:row r="10">
      <x:c r="A10" s="23" t="str">
        <x:v>VGG8</x:v>
      </x:c>
      <x:c r="B10" s="23" t="str">
        <x:v>CIFAR-10</x:v>
      </x:c>
      <x:c r="C10" s="23" t="str">
        <x:v>FeFET</x:v>
      </x:c>
      <x:c r="D10" s="24" t="n">
        <x:v>0.8889999986</x:v>
      </x:c>
      <x:c r="E10" s="25" t="n">
        <x:v>88.9</x:v>
      </x:c>
      <x:c r="F10" s="23" t="n">
        <x:v>200</x:v>
      </x:c>
      <x:c r="G10" s="23" t="n">
        <x:v>1</x:v>
      </x:c>
      <x:c r="H10" s="26" t="n">
        <x:v>0.01470176245</x:v>
      </x:c>
      <x:c r="I10" s="26" t="n">
        <x:v>2.214381698</x:v>
      </x:c>
      <x:c r="J10" s="26" t="n">
        <x:v>1.020930704</x:v>
      </x:c>
      <x:c r="K10" s="26" t="n">
        <x:v>133.2815</x:v>
      </x:c>
      <x:c r="L10" s="23" t="str">
        <x:v>lr_center_half_width_tia_r</x:v>
      </x:c>
      <x:c r="M10" s="23" t="str">
        <x:v>paper_search_lr_20260729/vgg8/fefet</x:v>
      </x:c>
    </x:row>
    <x:row r="11">
      <x:c r="A11" s="28" t="str">
        <x:v>VGG8</x:v>
      </x:c>
      <x:c r="B11" s="28" t="str">
        <x:v>CIFAR-10</x:v>
      </x:c>
      <x:c r="C11" s="28" t="str">
        <x:v>Flash</x:v>
      </x:c>
      <x:c r="D11" s="29" t="n">
        <x:v>0.8960000277</x:v>
      </x:c>
      <x:c r="E11" s="30" t="n">
        <x:v>89.6</x:v>
      </x:c>
      <x:c r="F11" s="28" t="n">
        <x:v>200</x:v>
      </x:c>
      <x:c r="G11" s="28" t="n">
        <x:v>2</x:v>
      </x:c>
      <x:c r="H11" s="31" t="n">
        <x:v>0.001387870914</x:v>
      </x:c>
      <x:c r="I11" s="31" t="n">
        <x:v>0.522874149</x:v>
      </x:c>
      <x:c r="J11" s="31" t="n">
        <x:v>0.064980982</x:v>
      </x:c>
      <x:c r="K11" s="31" t="n">
        <x:v>22150.2274</x:v>
      </x:c>
      <x:c r="L11" s="28" t="str">
        <x:v>lr_center_half_width_tia_r</x:v>
      </x:c>
      <x:c r="M11" s="28" t="str">
        <x:v>paper_search_lr_20260729/vgg8/flash</x:v>
      </x:c>
    </x:row>
  </x:sheetData>
  <x:conditionalFormatting sqref="E2:E11">
    <x:cfRule type="dataBar" priority="1">
      <x:dataBar>
        <x:cfvo type="min"/>
        <x:cfvo type="max"/>
        <x:color rgb="FFC9921E"/>
      </x:dataBar>
      <x:extLst>
        <x:ext xmlns:x14="http://schemas.microsoft.com/office/spreadsheetml/2009/9/main" uri="{B025F937-C7B1-47D3-B67F-A62EFF666E3E}">
          <x14:id>{F1628F5E-DF8F-4E71-FEA3-2E80638DF351}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1f88878c88f40f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628F5E-DF8F-4E71-FEA3-2E80638DF351}">
            <x14:dataBar gradient="1">
              <x14:cfvo type="min"/>
              <x14:cfvo type="max"/>
              <x14:fillColor rgb="FFC9921E"/>
            </x14:dataBar>
          </x14:cfRule>
          <xm:sqref>E2:E11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5" hidden="0" customWidth="1"/>
    <x:col min="3" max="3" width="18" hidden="0" customWidth="1"/>
    <x:col min="4" max="4" width="16" hidden="0" customWidth="1"/>
    <x:col min="5" max="5" width="18" hidden="0" customWidth="1"/>
    <x:col min="6" max="6" width="12" hidden="0" customWidth="1"/>
    <x:col min="7" max="7" width="23" hidden="0" customWidth="1"/>
    <x:col min="8" max="8" width="14" hidden="0" customWidth="1"/>
    <x:col min="9" max="9" width="16" hidden="0" customWidth="1"/>
    <x:col min="10" max="10" width="13" hidden="0" customWidth="1"/>
  </x:cols>
  <x:sheetData>
    <x:row r="1" ht="32" customHeight="1">
      <x:c r="A1" s="11" t="str">
        <x:v>stage</x:v>
      </x:c>
      <x:c r="B1" s="12" t="str">
        <x:v>variant</x:v>
      </x:c>
      <x:c r="C1" s="12" t="str">
        <x:v>accuracy_percent</x:v>
      </x:c>
      <x:c r="D1" s="12" t="str">
        <x:v>loss</x:v>
      </x:c>
      <x:c r="E1" s="12" t="str">
        <x:v>improvement_pp</x:v>
      </x:c>
      <x:c r="F1" s="12" t="str">
        <x:v>topk</x:v>
      </x:c>
      <x:c r="G1" s="12" t="str">
        <x:v>max_tokens_per_layer</x:v>
      </x:c>
      <x:c r="H1" s="12" t="str">
        <x:v>coord_block</x:v>
      </x:c>
      <x:c r="I1" s="12" t="str">
        <x:v>seed</x:v>
      </x:c>
      <x:c r="J1" s="13" t="str">
        <x:v>status</x:v>
      </x:c>
    </x:row>
    <x:row r="2">
      <x:c r="A2" s="18" t="str">
        <x:v>continuous_source</x:v>
      </x:c>
      <x:c r="B2" s="18" t="str">
        <x:v>Physical ViT-S</x:v>
      </x:c>
      <x:c r="C2" s="34" t="n">
        <x:v>72.19</x:v>
      </x:c>
      <x:c r="D2" s="19"/>
      <x:c r="E2" s="19"/>
      <x:c r="F2" s="18"/>
      <x:c r="G2" s="18"/>
      <x:c r="H2" s="18"/>
      <x:c r="I2" s="18" t="str"/>
      <x:c r="J2" s="18" t="str">
        <x:v>completed</x:v>
      </x:c>
    </x:row>
    <x:row r="3">
      <x:c r="A3" s="23" t="str">
        <x:v>qpoint_baseline</x:v>
      </x:c>
      <x:c r="B3" s="23" t="str">
        <x:v>24-state center Q-point</x:v>
      </x:c>
      <x:c r="C3" s="35" t="n">
        <x:v>54</x:v>
      </x:c>
      <x:c r="D3" s="24"/>
      <x:c r="E3" s="24"/>
      <x:c r="F3" s="23"/>
      <x:c r="G3" s="23"/>
      <x:c r="H3" s="23"/>
      <x:c r="I3" s="23" t="str"/>
      <x:c r="J3" s="23" t="str">
        <x:v>completed</x:v>
      </x:c>
    </x:row>
    <x:row r="4">
      <x:c r="A4" s="23" t="str">
        <x:v>activation_aware_assignment</x:v>
      </x:c>
      <x:c r="B4" s="23" t="str">
        <x:v>a4_k128_m8192_b2</x:v>
      </x:c>
      <x:c r="C4" s="35" t="n">
        <x:v>65.44</x:v>
      </x:c>
      <x:c r="D4" s="24" t="n">
        <x:v>1.5693384192</x:v>
      </x:c>
      <x:c r="E4" s="24" t="n">
        <x:v>11.44</x:v>
      </x:c>
      <x:c r="F4" s="23" t="n">
        <x:v>128</x:v>
      </x:c>
      <x:c r="G4" s="23" t="n">
        <x:v>8192</x:v>
      </x:c>
      <x:c r="H4" s="23" t="n">
        <x:v>2</x:v>
      </x:c>
      <x:c r="I4" s="23" t="str">
        <x:v>42</x:v>
      </x:c>
      <x:c r="J4" s="23" t="str">
        <x:v>PASS</x:v>
      </x:c>
    </x:row>
    <x:row r="5">
      <x:c r="A5" s="23" t="str">
        <x:v>fixed_assignment_compensation</x:v>
      </x:c>
      <x:c r="B5" s="23" t="str">
        <x:v>b2_attention_fc2_ln_head</x:v>
      </x:c>
      <x:c r="C5" s="35" t="n">
        <x:v>71.46</x:v>
      </x:c>
      <x:c r="D5" s="24"/>
      <x:c r="E5" s="24" t="n">
        <x:v>6.02</x:v>
      </x:c>
      <x:c r="F5" s="23"/>
      <x:c r="G5" s="23"/>
      <x:c r="H5" s="23"/>
      <x:c r="I5" s="23" t="str">
        <x:v>42</x:v>
      </x:c>
      <x:c r="J5" s="23" t="str">
        <x:v>PASS</x:v>
      </x:c>
    </x:row>
    <x:row r="6">
      <x:c r="A6" s="23" t="str">
        <x:v>center_curve_evaluation</x:v>
      </x:c>
      <x:c r="B6" s="23" t="str">
        <x:v>global_state_center</x:v>
      </x:c>
      <x:c r="C6" s="35" t="n">
        <x:v>71.35</x:v>
      </x:c>
      <x:c r="D6" s="24" t="n">
        <x:v>1.230870813</x:v>
      </x:c>
      <x:c r="E6" s="24"/>
      <x:c r="F6" s="23"/>
      <x:c r="G6" s="23"/>
      <x:c r="H6" s="23"/>
      <x:c r="I6" s="23" t="str"/>
      <x:c r="J6" s="23" t="str">
        <x:v>completed</x:v>
      </x:c>
    </x:row>
    <x:row r="7">
      <x:c r="A7" s="28" t="str">
        <x:v>monte_carlo_200</x:v>
      </x:c>
      <x:c r="B7" s="28" t="str">
        <x:v>independent_cell_members</x:v>
      </x:c>
      <x:c r="C7" s="36" t="n">
        <x:v>66.1091</x:v>
      </x:c>
      <x:c r="D7" s="29"/>
      <x:c r="E7" s="29"/>
      <x:c r="F7" s="28"/>
      <x:c r="G7" s="28"/>
      <x:c r="H7" s="28"/>
      <x:c r="I7" s="28" t="str">
        <x:v>10000-10199</x:v>
      </x:c>
      <x:c r="J7" s="28" t="str">
        <x:v>completed</x:v>
      </x:c>
    </x:row>
  </x:sheetData>
  <x:conditionalFormatting sqref="C2:C7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{87C00D77-C7C1-2A8A-A48C-236D1F7B3FF5}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b724dbf0b5f4a6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7C00D77-C7C1-2A8A-A48C-236D1F7B3FF5}">
            <x14:dataBar gradient="1">
              <x14:cfvo type="min"/>
              <x14:cfvo type="max"/>
              <x14:fillColor rgb="FF0F766E"/>
            </x14:dataBar>
          </x14:cfRule>
          <xm:sqref>C2:C7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12" hidden="0" customWidth="1"/>
    <x:col min="5" max="5" width="20" hidden="0" customWidth="1"/>
    <x:col min="6" max="6" width="21" hidden="0" customWidth="1"/>
    <x:col min="7" max="7" width="22" hidden="0" customWidth="1"/>
    <x:col min="8" max="8" width="23" hidden="0" customWidth="1"/>
    <x:col min="9" max="9" width="23" hidden="0" customWidth="1"/>
  </x:cols>
  <x:sheetData>
    <x:row r="1" ht="32" customHeight="1">
      <x:c r="A1" s="11" t="str">
        <x:v>seed</x:v>
      </x:c>
      <x:c r="B1" s="12" t="str">
        <x:v>accuracy</x:v>
      </x:c>
      <x:c r="C1" s="12" t="str">
        <x:v>loss</x:v>
      </x:c>
      <x:c r="D1" s="12" t="str">
        <x:v>images</x:v>
      </x:c>
      <x:c r="E1" s="12" t="str">
        <x:v>inference_seconds</x:v>
      </x:c>
      <x:c r="F1" s="12" t="str">
        <x:v>realization_seconds</x:v>
      </x:c>
      <x:c r="G1" s="12" t="str">
        <x:v>total_physical_cells</x:v>
      </x:c>
      <x:c r="H1" s="12" t="str">
        <x:v>singleton_state_cells</x:v>
      </x:c>
      <x:c r="I1" s="13" t="str">
        <x:v>unique_raw_curves_used</x:v>
      </x:c>
    </x:row>
    <x:row r="2">
      <x:c r="A2" s="39" t="n">
        <x:v>10000</x:v>
      </x:c>
      <x:c r="B2" s="40" t="n">
        <x:v>67.44</x:v>
      </x:c>
      <x:c r="C2" s="41" t="n">
        <x:v>1.5279352661132812</x:v>
      </x:c>
      <x:c r="D2" s="39" t="n">
        <x:v>10000</x:v>
      </x:c>
      <x:c r="E2" s="42" t="n">
        <x:v>22.26800686866045</x:v>
      </x:c>
      <x:c r="F2" s="42" t="n">
        <x:v>0.4713418781757355</x:v>
      </x:c>
      <x:c r="G2" s="43" t="n">
        <x:v>14155776</x:v>
      </x:c>
      <x:c r="H2" s="43" t="n">
        <x:v>0</x:v>
      </x:c>
      <x:c r="I2" s="43" t="n">
        <x:v>31721</x:v>
      </x:c>
    </x:row>
    <x:row r="3">
      <x:c r="A3" s="44" t="n">
        <x:v>10001</x:v>
      </x:c>
      <x:c r="B3" s="45" t="n">
        <x:v>65.97</x:v>
      </x:c>
      <x:c r="C3" s="46" t="n">
        <x:v>1.5429879776000976</x:v>
      </x:c>
      <x:c r="D3" s="44" t="n">
        <x:v>10000</x:v>
      </x:c>
      <x:c r="E3" s="47" t="n">
        <x:v>22.628751255571842</x:v>
      </x:c>
      <x:c r="F3" s="47" t="n">
        <x:v>0.1824672408401966</x:v>
      </x:c>
      <x:c r="G3" s="48" t="n">
        <x:v>14155776</x:v>
      </x:c>
      <x:c r="H3" s="48" t="n">
        <x:v>0</x:v>
      </x:c>
      <x:c r="I3" s="48" t="n">
        <x:v>31722</x:v>
      </x:c>
    </x:row>
    <x:row r="4">
      <x:c r="A4" s="44" t="n">
        <x:v>10002</x:v>
      </x:c>
      <x:c r="B4" s="45" t="n">
        <x:v>65.71</x:v>
      </x:c>
      <x:c r="C4" s="46" t="n">
        <x:v>1.5688064361572265</x:v>
      </x:c>
      <x:c r="D4" s="44" t="n">
        <x:v>10000</x:v>
      </x:c>
      <x:c r="E4" s="47" t="n">
        <x:v>21.424113769084215</x:v>
      </x:c>
      <x:c r="F4" s="47" t="n">
        <x:v>0.6584953926503658</x:v>
      </x:c>
      <x:c r="G4" s="48" t="n">
        <x:v>14155776</x:v>
      </x:c>
      <x:c r="H4" s="48" t="n">
        <x:v>0</x:v>
      </x:c>
      <x:c r="I4" s="48" t="n">
        <x:v>31712</x:v>
      </x:c>
    </x:row>
    <x:row r="5">
      <x:c r="A5" s="44" t="n">
        <x:v>10003</x:v>
      </x:c>
      <x:c r="B5" s="45" t="n">
        <x:v>65.49</x:v>
      </x:c>
      <x:c r="C5" s="46" t="n">
        <x:v>1.5789098037719727</x:v>
      </x:c>
      <x:c r="D5" s="44" t="n">
        <x:v>10000</x:v>
      </x:c>
      <x:c r="E5" s="47" t="n">
        <x:v>21.673763435333967</x:v>
      </x:c>
      <x:c r="F5" s="47" t="n">
        <x:v>0.4616522528231144</x:v>
      </x:c>
      <x:c r="G5" s="48" t="n">
        <x:v>14155776</x:v>
      </x:c>
      <x:c r="H5" s="48" t="n">
        <x:v>0</x:v>
      </x:c>
      <x:c r="I5" s="48" t="n">
        <x:v>31695</x:v>
      </x:c>
    </x:row>
    <x:row r="6">
      <x:c r="A6" s="44" t="n">
        <x:v>10004</x:v>
      </x:c>
      <x:c r="B6" s="45" t="n">
        <x:v>67.32</x:v>
      </x:c>
      <x:c r="C6" s="46" t="n">
        <x:v>1.4795192825317383</x:v>
      </x:c>
      <x:c r="D6" s="44" t="n">
        <x:v>10000</x:v>
      </x:c>
      <x:c r="E6" s="47" t="n">
        <x:v>21.55723623931408</x:v>
      </x:c>
      <x:c r="F6" s="47" t="n">
        <x:v>0.616399247199297</x:v>
      </x:c>
      <x:c r="G6" s="48" t="n">
        <x:v>14155776</x:v>
      </x:c>
      <x:c r="H6" s="48" t="n">
        <x:v>0</x:v>
      </x:c>
      <x:c r="I6" s="48" t="n">
        <x:v>31733</x:v>
      </x:c>
    </x:row>
    <x:row r="7">
      <x:c r="A7" s="44" t="n">
        <x:v>10005</x:v>
      </x:c>
      <x:c r="B7" s="45" t="n">
        <x:v>65.19</x:v>
      </x:c>
      <x:c r="C7" s="46" t="n">
        <x:v>1.5779847198486328</x:v>
      </x:c>
      <x:c r="D7" s="44" t="n">
        <x:v>10000</x:v>
      </x:c>
      <x:c r="E7" s="47" t="n">
        <x:v>21.59991791844368</x:v>
      </x:c>
      <x:c r="F7" s="47" t="n">
        <x:v>0.6198113076388836</x:v>
      </x:c>
      <x:c r="G7" s="48" t="n">
        <x:v>14155776</x:v>
      </x:c>
      <x:c r="H7" s="48" t="n">
        <x:v>0</x:v>
      </x:c>
      <x:c r="I7" s="48" t="n">
        <x:v>31718</x:v>
      </x:c>
    </x:row>
    <x:row r="8">
      <x:c r="A8" s="44" t="n">
        <x:v>10006</x:v>
      </x:c>
      <x:c r="B8" s="45" t="n">
        <x:v>66.64</x:v>
      </x:c>
      <x:c r="C8" s="46" t="n">
        <x:v>1.5286258728027344</x:v>
      </x:c>
      <x:c r="D8" s="44" t="n">
        <x:v>10000</x:v>
      </x:c>
      <x:c r="E8" s="47" t="n">
        <x:v>21.602784000337124</x:v>
      </x:c>
      <x:c r="F8" s="47" t="n">
        <x:v>0.21620163694024086</x:v>
      </x:c>
      <x:c r="G8" s="48" t="n">
        <x:v>14155776</x:v>
      </x:c>
      <x:c r="H8" s="48" t="n">
        <x:v>0</x:v>
      </x:c>
      <x:c r="I8" s="48" t="n">
        <x:v>31741</x:v>
      </x:c>
    </x:row>
    <x:row r="9">
      <x:c r="A9" s="44" t="n">
        <x:v>10007</x:v>
      </x:c>
      <x:c r="B9" s="45" t="n">
        <x:v>66.1</x:v>
      </x:c>
      <x:c r="C9" s="46" t="n">
        <x:v>1.5370836303710937</x:v>
      </x:c>
      <x:c r="D9" s="44" t="n">
        <x:v>10000</x:v>
      </x:c>
      <x:c r="E9" s="47" t="n">
        <x:v>21.63464132323861</x:v>
      </x:c>
      <x:c r="F9" s="47" t="n">
        <x:v>0.29918719828128815</x:v>
      </x:c>
      <x:c r="G9" s="48" t="n">
        <x:v>14155776</x:v>
      </x:c>
      <x:c r="H9" s="48" t="n">
        <x:v>0</x:v>
      </x:c>
      <x:c r="I9" s="48" t="n">
        <x:v>31716</x:v>
      </x:c>
    </x:row>
    <x:row r="10">
      <x:c r="A10" s="44" t="n">
        <x:v>10008</x:v>
      </x:c>
      <x:c r="B10" s="45" t="n">
        <x:v>64.94</x:v>
      </x:c>
      <x:c r="C10" s="46" t="n">
        <x:v>1.5879357604980469</x:v>
      </x:c>
      <x:c r="D10" s="44" t="n">
        <x:v>10000</x:v>
      </x:c>
      <x:c r="E10" s="47" t="n">
        <x:v>21.555354554206133</x:v>
      </x:c>
      <x:c r="F10" s="47" t="n">
        <x:v>0.08707363158464432</x:v>
      </x:c>
      <x:c r="G10" s="48" t="n">
        <x:v>14155776</x:v>
      </x:c>
      <x:c r="H10" s="48" t="n">
        <x:v>0</x:v>
      </x:c>
      <x:c r="I10" s="48" t="n">
        <x:v>31715</x:v>
      </x:c>
    </x:row>
    <x:row r="11">
      <x:c r="A11" s="44" t="n">
        <x:v>10009</x:v>
      </x:c>
      <x:c r="B11" s="45" t="n">
        <x:v>65.98</x:v>
      </x:c>
      <x:c r="C11" s="46" t="n">
        <x:v>1.562417807006836</x:v>
      </x:c>
      <x:c r="D11" s="44" t="n">
        <x:v>10000</x:v>
      </x:c>
      <x:c r="E11" s="47" t="n">
        <x:v>21.570080544799566</x:v>
      </x:c>
      <x:c r="F11" s="47" t="n">
        <x:v>0.14499065652489662</x:v>
      </x:c>
      <x:c r="G11" s="48" t="n">
        <x:v>14155776</x:v>
      </x:c>
      <x:c r="H11" s="48" t="n">
        <x:v>0</x:v>
      </x:c>
      <x:c r="I11" s="48" t="n">
        <x:v>31695</x:v>
      </x:c>
    </x:row>
    <x:row r="12">
      <x:c r="A12" s="44" t="n">
        <x:v>10010</x:v>
      </x:c>
      <x:c r="B12" s="45" t="n">
        <x:v>67.23</x:v>
      </x:c>
      <x:c r="C12" s="46" t="n">
        <x:v>1.505467626953125</x:v>
      </x:c>
      <x:c r="D12" s="44" t="n">
        <x:v>10000</x:v>
      </x:c>
      <x:c r="E12" s="47" t="n">
        <x:v>21.56310920789838</x:v>
      </x:c>
      <x:c r="F12" s="47" t="n">
        <x:v>0.08880060166120529</x:v>
      </x:c>
      <x:c r="G12" s="48" t="n">
        <x:v>14155776</x:v>
      </x:c>
      <x:c r="H12" s="48" t="n">
        <x:v>0</x:v>
      </x:c>
      <x:c r="I12" s="48" t="n">
        <x:v>31703</x:v>
      </x:c>
    </x:row>
    <x:row r="13">
      <x:c r="A13" s="44" t="n">
        <x:v>10011</x:v>
      </x:c>
      <x:c r="B13" s="45" t="n">
        <x:v>66.26</x:v>
      </x:c>
      <x:c r="C13" s="46" t="n">
        <x:v>1.510132945251465</x:v>
      </x:c>
      <x:c r="D13" s="44" t="n">
        <x:v>10000</x:v>
      </x:c>
      <x:c r="E13" s="47" t="n">
        <x:v>21.56895535811782</x:v>
      </x:c>
      <x:c r="F13" s="47" t="n">
        <x:v>0.1795676201581955</x:v>
      </x:c>
      <x:c r="G13" s="48" t="n">
        <x:v>14155776</x:v>
      </x:c>
      <x:c r="H13" s="48" t="n">
        <x:v>0</x:v>
      </x:c>
      <x:c r="I13" s="48" t="n">
        <x:v>31718</x:v>
      </x:c>
    </x:row>
    <x:row r="14">
      <x:c r="A14" s="44" t="n">
        <x:v>10012</x:v>
      </x:c>
      <x:c r="B14" s="45" t="n">
        <x:v>64.5</x:v>
      </x:c>
      <x:c r="C14" s="46" t="n">
        <x:v>1.6425901794433593</x:v>
      </x:c>
      <x:c r="D14" s="44" t="n">
        <x:v>10000</x:v>
      </x:c>
      <x:c r="E14" s="47" t="n">
        <x:v>21.561753571033478</x:v>
      </x:c>
      <x:c r="F14" s="47" t="n">
        <x:v>0.11176071688532829</x:v>
      </x:c>
      <x:c r="G14" s="48" t="n">
        <x:v>14155776</x:v>
      </x:c>
      <x:c r="H14" s="48" t="n">
        <x:v>0</x:v>
      </x:c>
      <x:c r="I14" s="48" t="n">
        <x:v>31718</x:v>
      </x:c>
    </x:row>
    <x:row r="15">
      <x:c r="A15" s="44" t="n">
        <x:v>10013</x:v>
      </x:c>
      <x:c r="B15" s="45" t="n">
        <x:v>67.38</x:v>
      </x:c>
      <x:c r="C15" s="46" t="n">
        <x:v>1.5091579147338867</x:v>
      </x:c>
      <x:c r="D15" s="44" t="n">
        <x:v>10000</x:v>
      </x:c>
      <x:c r="E15" s="47" t="n">
        <x:v>21.57927642762661</x:v>
      </x:c>
      <x:c r="F15" s="47" t="n">
        <x:v>0.18093790858983994</x:v>
      </x:c>
      <x:c r="G15" s="48" t="n">
        <x:v>14155776</x:v>
      </x:c>
      <x:c r="H15" s="48" t="n">
        <x:v>0</x:v>
      </x:c>
      <x:c r="I15" s="48" t="n">
        <x:v>31704</x:v>
      </x:c>
    </x:row>
    <x:row r="16">
      <x:c r="A16" s="44" t="n">
        <x:v>10014</x:v>
      </x:c>
      <x:c r="B16" s="45" t="n">
        <x:v>65.55</x:v>
      </x:c>
      <x:c r="C16" s="46" t="n">
        <x:v>1.5643963027954102</x:v>
      </x:c>
      <x:c r="D16" s="44" t="n">
        <x:v>10000</x:v>
      </x:c>
      <x:c r="E16" s="47" t="n">
        <x:v>21.449574325233698</x:v>
      </x:c>
      <x:c r="F16" s="47" t="n">
        <x:v>0.08226469159126282</x:v>
      </x:c>
      <x:c r="G16" s="48" t="n">
        <x:v>14155776</x:v>
      </x:c>
      <x:c r="H16" s="48" t="n">
        <x:v>0</x:v>
      </x:c>
      <x:c r="I16" s="48" t="n">
        <x:v>31731</x:v>
      </x:c>
    </x:row>
    <x:row r="17">
      <x:c r="A17" s="44" t="n">
        <x:v>10015</x:v>
      </x:c>
      <x:c r="B17" s="45" t="n">
        <x:v>64.93</x:v>
      </x:c>
      <x:c r="C17" s="46" t="n">
        <x:v>1.6209625686645508</x:v>
      </x:c>
      <x:c r="D17" s="44" t="n">
        <x:v>10000</x:v>
      </x:c>
      <x:c r="E17" s="47" t="n">
        <x:v>21.521438978612423</x:v>
      </x:c>
      <x:c r="F17" s="47" t="n">
        <x:v>0.19916418567299843</x:v>
      </x:c>
      <x:c r="G17" s="48" t="n">
        <x:v>14155776</x:v>
      </x:c>
      <x:c r="H17" s="48" t="n">
        <x:v>0</x:v>
      </x:c>
      <x:c r="I17" s="48" t="n">
        <x:v>31704</x:v>
      </x:c>
    </x:row>
    <x:row r="18">
      <x:c r="A18" s="44" t="n">
        <x:v>10016</x:v>
      </x:c>
      <x:c r="B18" s="45" t="n">
        <x:v>65.81</x:v>
      </x:c>
      <x:c r="C18" s="46" t="n">
        <x:v>1.5579891845703124</x:v>
      </x:c>
      <x:c r="D18" s="44" t="n">
        <x:v>10000</x:v>
      </x:c>
      <x:c r="E18" s="47" t="n">
        <x:v>21.59067291766405</x:v>
      </x:c>
      <x:c r="F18" s="47" t="n">
        <x:v>0.08038517087697983</x:v>
      </x:c>
      <x:c r="G18" s="48" t="n">
        <x:v>14155776</x:v>
      </x:c>
      <x:c r="H18" s="48" t="n">
        <x:v>0</x:v>
      </x:c>
      <x:c r="I18" s="48" t="n">
        <x:v>31706</x:v>
      </x:c>
    </x:row>
    <x:row r="19">
      <x:c r="A19" s="44" t="n">
        <x:v>10017</x:v>
      </x:c>
      <x:c r="B19" s="45" t="n">
        <x:v>66.14</x:v>
      </x:c>
      <x:c r="C19" s="46" t="n">
        <x:v>1.5796565490722656</x:v>
      </x:c>
      <x:c r="D19" s="44" t="n">
        <x:v>10000</x:v>
      </x:c>
      <x:c r="E19" s="47" t="n">
        <x:v>21.551988530904055</x:v>
      </x:c>
      <x:c r="F19" s="47" t="n">
        <x:v>0.22227764874696732</x:v>
      </x:c>
      <x:c r="G19" s="48" t="n">
        <x:v>14155776</x:v>
      </x:c>
      <x:c r="H19" s="48" t="n">
        <x:v>0</x:v>
      </x:c>
      <x:c r="I19" s="48" t="n">
        <x:v>31698</x:v>
      </x:c>
    </x:row>
    <x:row r="20">
      <x:c r="A20" s="44" t="n">
        <x:v>10018</x:v>
      </x:c>
      <x:c r="B20" s="45" t="n">
        <x:v>66.53</x:v>
      </x:c>
      <x:c r="C20" s="46" t="n">
        <x:v>1.5295112838745117</x:v>
      </x:c>
      <x:c r="D20" s="44" t="n">
        <x:v>10000</x:v>
      </x:c>
      <x:c r="E20" s="47" t="n">
        <x:v>21.506530050188303</x:v>
      </x:c>
      <x:c r="F20" s="47" t="n">
        <x:v>0.0761665478348732</x:v>
      </x:c>
      <x:c r="G20" s="48" t="n">
        <x:v>14155776</x:v>
      </x:c>
      <x:c r="H20" s="48" t="n">
        <x:v>0</x:v>
      </x:c>
      <x:c r="I20" s="48" t="n">
        <x:v>31720</x:v>
      </x:c>
    </x:row>
    <x:row r="21">
      <x:c r="A21" s="44" t="n">
        <x:v>10019</x:v>
      </x:c>
      <x:c r="B21" s="45" t="n">
        <x:v>66.69</x:v>
      </x:c>
      <x:c r="C21" s="46" t="n">
        <x:v>1.5265329650878907</x:v>
      </x:c>
      <x:c r="D21" s="44" t="n">
        <x:v>10000</x:v>
      </x:c>
      <x:c r="E21" s="47" t="n">
        <x:v>21.690841481089592</x:v>
      </x:c>
      <x:c r="F21" s="47" t="n">
        <x:v>0.07290148735046387</x:v>
      </x:c>
      <x:c r="G21" s="48" t="n">
        <x:v>14155776</x:v>
      </x:c>
      <x:c r="H21" s="48" t="n">
        <x:v>0</x:v>
      </x:c>
      <x:c r="I21" s="48" t="n">
        <x:v>31717</x:v>
      </x:c>
    </x:row>
    <x:row r="22">
      <x:c r="A22" s="44" t="n">
        <x:v>10020</x:v>
      </x:c>
      <x:c r="B22" s="45" t="n">
        <x:v>66.33</x:v>
      </x:c>
      <x:c r="C22" s="46" t="n">
        <x:v>1.572963751220703</x:v>
      </x:c>
      <x:c r="D22" s="44" t="n">
        <x:v>10000</x:v>
      </x:c>
      <x:c r="E22" s="47" t="n">
        <x:v>21.424387574195862</x:v>
      </x:c>
      <x:c r="F22" s="47" t="n">
        <x:v>0.1551545187830925</x:v>
      </x:c>
      <x:c r="G22" s="48" t="n">
        <x:v>14155776</x:v>
      </x:c>
      <x:c r="H22" s="48" t="n">
        <x:v>0</x:v>
      </x:c>
      <x:c r="I22" s="48" t="n">
        <x:v>31710</x:v>
      </x:c>
    </x:row>
    <x:row r="23">
      <x:c r="A23" s="44" t="n">
        <x:v>10021</x:v>
      </x:c>
      <x:c r="B23" s="45" t="n">
        <x:v>66.82</x:v>
      </x:c>
      <x:c r="C23" s="46" t="n">
        <x:v>1.5295340911865234</x:v>
      </x:c>
      <x:c r="D23" s="44" t="n">
        <x:v>10000</x:v>
      </x:c>
      <x:c r="E23" s="47" t="n">
        <x:v>21.55217259004712</x:v>
      </x:c>
      <x:c r="F23" s="47" t="n">
        <x:v>0.1334509663283825</x:v>
      </x:c>
      <x:c r="G23" s="48" t="n">
        <x:v>14155776</x:v>
      </x:c>
      <x:c r="H23" s="48" t="n">
        <x:v>0</x:v>
      </x:c>
      <x:c r="I23" s="48" t="n">
        <x:v>31717</x:v>
      </x:c>
    </x:row>
    <x:row r="24">
      <x:c r="A24" s="44" t="n">
        <x:v>10022</x:v>
      </x:c>
      <x:c r="B24" s="45" t="n">
        <x:v>66.66</x:v>
      </x:c>
      <x:c r="C24" s="46" t="n">
        <x:v>1.5196774307250978</x:v>
      </x:c>
      <x:c r="D24" s="44" t="n">
        <x:v>10000</x:v>
      </x:c>
      <x:c r="E24" s="47" t="n">
        <x:v>21.54618688672781</x:v>
      </x:c>
      <x:c r="F24" s="47" t="n">
        <x:v>0.14774735644459724</x:v>
      </x:c>
      <x:c r="G24" s="48" t="n">
        <x:v>14155776</x:v>
      </x:c>
      <x:c r="H24" s="48" t="n">
        <x:v>0</x:v>
      </x:c>
      <x:c r="I24" s="48" t="n">
        <x:v>31709</x:v>
      </x:c>
    </x:row>
    <x:row r="25">
      <x:c r="A25" s="44" t="n">
        <x:v>10023</x:v>
      </x:c>
      <x:c r="B25" s="45" t="n">
        <x:v>65.98</x:v>
      </x:c>
      <x:c r="C25" s="46" t="n">
        <x:v>1.5570901794433594</x:v>
      </x:c>
      <x:c r="D25" s="44" t="n">
        <x:v>10000</x:v>
      </x:c>
      <x:c r="E25" s="47" t="n">
        <x:v>21.561646413058043</x:v>
      </x:c>
      <x:c r="F25" s="47" t="n">
        <x:v>0.16802268475294113</x:v>
      </x:c>
      <x:c r="G25" s="48" t="n">
        <x:v>14155776</x:v>
      </x:c>
      <x:c r="H25" s="48" t="n">
        <x:v>0</x:v>
      </x:c>
      <x:c r="I25" s="48" t="n">
        <x:v>31750</x:v>
      </x:c>
    </x:row>
    <x:row r="26">
      <x:c r="A26" s="44" t="n">
        <x:v>10024</x:v>
      </x:c>
      <x:c r="B26" s="45" t="n">
        <x:v>65.65</x:v>
      </x:c>
      <x:c r="C26" s="46" t="n">
        <x:v>1.5856832458496093</x:v>
      </x:c>
      <x:c r="D26" s="44" t="n">
        <x:v>10000</x:v>
      </x:c>
      <x:c r="E26" s="47" t="n">
        <x:v>21.490352112799883</x:v>
      </x:c>
      <x:c r="F26" s="47" t="n">
        <x:v>0.13870124518871307</x:v>
      </x:c>
      <x:c r="G26" s="48" t="n">
        <x:v>14155776</x:v>
      </x:c>
      <x:c r="H26" s="48" t="n">
        <x:v>0</x:v>
      </x:c>
      <x:c r="I26" s="48" t="n">
        <x:v>31716</x:v>
      </x:c>
    </x:row>
    <x:row r="27">
      <x:c r="A27" s="44" t="n">
        <x:v>10025</x:v>
      </x:c>
      <x:c r="B27" s="45" t="n">
        <x:v>67.86</x:v>
      </x:c>
      <x:c r="C27" s="46" t="n">
        <x:v>1.4599918472290039</x:v>
      </x:c>
      <x:c r="D27" s="44" t="n">
        <x:v>10000</x:v>
      </x:c>
      <x:c r="E27" s="47" t="n">
        <x:v>21.570141978561878</x:v>
      </x:c>
      <x:c r="F27" s="47" t="n">
        <x:v>0.14601543545722961</x:v>
      </x:c>
      <x:c r="G27" s="48" t="n">
        <x:v>14155776</x:v>
      </x:c>
      <x:c r="H27" s="48" t="n">
        <x:v>0</x:v>
      </x:c>
      <x:c r="I27" s="48" t="n">
        <x:v>31714</x:v>
      </x:c>
    </x:row>
    <x:row r="28">
      <x:c r="A28" s="44" t="n">
        <x:v>10026</x:v>
      </x:c>
      <x:c r="B28" s="45" t="n">
        <x:v>65.67</x:v>
      </x:c>
      <x:c r="C28" s="46" t="n">
        <x:v>1.5598524795532227</x:v>
      </x:c>
      <x:c r="D28" s="44" t="n">
        <x:v>10000</x:v>
      </x:c>
      <x:c r="E28" s="47" t="n">
        <x:v>21.39489698037505</x:v>
      </x:c>
      <x:c r="F28" s="47" t="n">
        <x:v>0.1736673079431057</x:v>
      </x:c>
      <x:c r="G28" s="48" t="n">
        <x:v>14155776</x:v>
      </x:c>
      <x:c r="H28" s="48" t="n">
        <x:v>0</x:v>
      </x:c>
      <x:c r="I28" s="48" t="n">
        <x:v>31722</x:v>
      </x:c>
    </x:row>
    <x:row r="29">
      <x:c r="A29" s="44" t="n">
        <x:v>10027</x:v>
      </x:c>
      <x:c r="B29" s="45" t="n">
        <x:v>65.98</x:v>
      </x:c>
      <x:c r="C29" s="46" t="n">
        <x:v>1.5596681243896484</x:v>
      </x:c>
      <x:c r="D29" s="44" t="n">
        <x:v>10000</x:v>
      </x:c>
      <x:c r="E29" s="47" t="n">
        <x:v>21.547297805547714</x:v>
      </x:c>
      <x:c r="F29" s="47" t="n">
        <x:v>0.20660801976919174</x:v>
      </x:c>
      <x:c r="G29" s="48" t="n">
        <x:v>14155776</x:v>
      </x:c>
      <x:c r="H29" s="48" t="n">
        <x:v>0</x:v>
      </x:c>
      <x:c r="I29" s="48" t="n">
        <x:v>31709</x:v>
      </x:c>
    </x:row>
    <x:row r="30">
      <x:c r="A30" s="44" t="n">
        <x:v>10028</x:v>
      </x:c>
      <x:c r="B30" s="45" t="n">
        <x:v>66.07</x:v>
      </x:c>
      <x:c r="C30" s="46" t="n">
        <x:v>1.5428402069091798</x:v>
      </x:c>
      <x:c r="D30" s="44" t="n">
        <x:v>10000</x:v>
      </x:c>
      <x:c r="E30" s="47" t="n">
        <x:v>21.57933521643281</x:v>
      </x:c>
      <x:c r="F30" s="47" t="n">
        <x:v>0.1750868298113346</x:v>
      </x:c>
      <x:c r="G30" s="48" t="n">
        <x:v>14155776</x:v>
      </x:c>
      <x:c r="H30" s="48" t="n">
        <x:v>0</x:v>
      </x:c>
      <x:c r="I30" s="48" t="n">
        <x:v>31714</x:v>
      </x:c>
    </x:row>
    <x:row r="31">
      <x:c r="A31" s="44" t="n">
        <x:v>10029</x:v>
      </x:c>
      <x:c r="B31" s="45" t="n">
        <x:v>65.98</x:v>
      </x:c>
      <x:c r="C31" s="46" t="n">
        <x:v>1.578998341369629</x:v>
      </x:c>
      <x:c r="D31" s="44" t="n">
        <x:v>10000</x:v>
      </x:c>
      <x:c r="E31" s="47" t="n">
        <x:v>21.545719131827354</x:v>
      </x:c>
      <x:c r="F31" s="47" t="n">
        <x:v>0.13845673203468323</x:v>
      </x:c>
      <x:c r="G31" s="48" t="n">
        <x:v>14155776</x:v>
      </x:c>
      <x:c r="H31" s="48" t="n">
        <x:v>0</x:v>
      </x:c>
      <x:c r="I31" s="48" t="n">
        <x:v>31737</x:v>
      </x:c>
    </x:row>
    <x:row r="32">
      <x:c r="A32" s="44" t="n">
        <x:v>10030</x:v>
      </x:c>
      <x:c r="B32" s="45" t="n">
        <x:v>68.25</x:v>
      </x:c>
      <x:c r="C32" s="46" t="n">
        <x:v>1.4406752716064453</x:v>
      </x:c>
      <x:c r="D32" s="44" t="n">
        <x:v>10000</x:v>
      </x:c>
      <x:c r="E32" s="47" t="n">
        <x:v>21.507715608924627</x:v>
      </x:c>
      <x:c r="F32" s="47" t="n">
        <x:v>0.19399196282029152</x:v>
      </x:c>
      <x:c r="G32" s="48" t="n">
        <x:v>14155776</x:v>
      </x:c>
      <x:c r="H32" s="48" t="n">
        <x:v>0</x:v>
      </x:c>
      <x:c r="I32" s="48" t="n">
        <x:v>31708</x:v>
      </x:c>
    </x:row>
    <x:row r="33">
      <x:c r="A33" s="44" t="n">
        <x:v>10031</x:v>
      </x:c>
      <x:c r="B33" s="45" t="n">
        <x:v>65.95</x:v>
      </x:c>
      <x:c r="C33" s="46" t="n">
        <x:v>1.5282634521484375</x:v>
      </x:c>
      <x:c r="D33" s="44" t="n">
        <x:v>10000</x:v>
      </x:c>
      <x:c r="E33" s="47" t="n">
        <x:v>21.58370577543974</x:v>
      </x:c>
      <x:c r="F33" s="47" t="n">
        <x:v>0.13469604030251503</x:v>
      </x:c>
      <x:c r="G33" s="48" t="n">
        <x:v>14155776</x:v>
      </x:c>
      <x:c r="H33" s="48" t="n">
        <x:v>0</x:v>
      </x:c>
      <x:c r="I33" s="48" t="n">
        <x:v>31701</x:v>
      </x:c>
    </x:row>
    <x:row r="34">
      <x:c r="A34" s="44" t="n">
        <x:v>10032</x:v>
      </x:c>
      <x:c r="B34" s="45" t="n">
        <x:v>65.45</x:v>
      </x:c>
      <x:c r="C34" s="46" t="n">
        <x:v>1.5804998168945312</x:v>
      </x:c>
      <x:c r="D34" s="44" t="n">
        <x:v>10000</x:v>
      </x:c>
      <x:c r="E34" s="47" t="n">
        <x:v>21.537821155041456</x:v>
      </x:c>
      <x:c r="F34" s="47" t="n">
        <x:v>0.16517839580774307</x:v>
      </x:c>
      <x:c r="G34" s="48" t="n">
        <x:v>14155776</x:v>
      </x:c>
      <x:c r="H34" s="48" t="n">
        <x:v>0</x:v>
      </x:c>
      <x:c r="I34" s="48" t="n">
        <x:v>31722</x:v>
      </x:c>
    </x:row>
    <x:row r="35">
      <x:c r="A35" s="44" t="n">
        <x:v>10033</x:v>
      </x:c>
      <x:c r="B35" s="45" t="n">
        <x:v>64.59</x:v>
      </x:c>
      <x:c r="C35" s="46" t="n">
        <x:v>1.5922924575805664</x:v>
      </x:c>
      <x:c r="D35" s="44" t="n">
        <x:v>10000</x:v>
      </x:c>
      <x:c r="E35" s="47" t="n">
        <x:v>21.532405447214842</x:v>
      </x:c>
      <x:c r="F35" s="47" t="n">
        <x:v>0.18928496539592743</x:v>
      </x:c>
      <x:c r="G35" s="48" t="n">
        <x:v>14155776</x:v>
      </x:c>
      <x:c r="H35" s="48" t="n">
        <x:v>0</x:v>
      </x:c>
      <x:c r="I35" s="48" t="n">
        <x:v>31715</x:v>
      </x:c>
    </x:row>
    <x:row r="36">
      <x:c r="A36" s="44" t="n">
        <x:v>10034</x:v>
      </x:c>
      <x:c r="B36" s="45" t="n">
        <x:v>64.65</x:v>
      </x:c>
      <x:c r="C36" s="46" t="n">
        <x:v>1.5945845748901366</x:v>
      </x:c>
      <x:c r="D36" s="44" t="n">
        <x:v>10000</x:v>
      </x:c>
      <x:c r="E36" s="47" t="n">
        <x:v>21.4569727294147</x:v>
      </x:c>
      <x:c r="F36" s="47" t="n">
        <x:v>0.141080129891634</x:v>
      </x:c>
      <x:c r="G36" s="48" t="n">
        <x:v>14155776</x:v>
      </x:c>
      <x:c r="H36" s="48" t="n">
        <x:v>0</x:v>
      </x:c>
      <x:c r="I36" s="48" t="n">
        <x:v>31683</x:v>
      </x:c>
    </x:row>
    <x:row r="37">
      <x:c r="A37" s="44" t="n">
        <x:v>10035</x:v>
      </x:c>
      <x:c r="B37" s="45" t="n">
        <x:v>66.86</x:v>
      </x:c>
      <x:c r="C37" s="46" t="n">
        <x:v>1.4970098251342774</x:v>
      </x:c>
      <x:c r="D37" s="44" t="n">
        <x:v>10000</x:v>
      </x:c>
      <x:c r="E37" s="47" t="n">
        <x:v>21.56546526402235</x:v>
      </x:c>
      <x:c r="F37" s="47" t="n">
        <x:v>0.20084837451577187</x:v>
      </x:c>
      <x:c r="G37" s="48" t="n">
        <x:v>14155776</x:v>
      </x:c>
      <x:c r="H37" s="48" t="n">
        <x:v>0</x:v>
      </x:c>
      <x:c r="I37" s="48" t="n">
        <x:v>31705</x:v>
      </x:c>
    </x:row>
    <x:row r="38">
      <x:c r="A38" s="44" t="n">
        <x:v>10036</x:v>
      </x:c>
      <x:c r="B38" s="45" t="n">
        <x:v>65.13</x:v>
      </x:c>
      <x:c r="C38" s="46" t="n">
        <x:v>1.6427667083740234</x:v>
      </x:c>
      <x:c r="D38" s="44" t="n">
        <x:v>10000</x:v>
      </x:c>
      <x:c r="E38" s="47" t="n">
        <x:v>21.49678935483098</x:v>
      </x:c>
      <x:c r="F38" s="47" t="n">
        <x:v>0.1466904878616333</x:v>
      </x:c>
      <x:c r="G38" s="48" t="n">
        <x:v>14155776</x:v>
      </x:c>
      <x:c r="H38" s="48" t="n">
        <x:v>0</x:v>
      </x:c>
      <x:c r="I38" s="48" t="n">
        <x:v>31723</x:v>
      </x:c>
    </x:row>
    <x:row r="39">
      <x:c r="A39" s="44" t="n">
        <x:v>10037</x:v>
      </x:c>
      <x:c r="B39" s="45" t="n">
        <x:v>65.5</x:v>
      </x:c>
      <x:c r="C39" s="46" t="n">
        <x:v>1.576432258605957</x:v>
      </x:c>
      <x:c r="D39" s="44" t="n">
        <x:v>10000</x:v>
      </x:c>
      <x:c r="E39" s="47" t="n">
        <x:v>21.565278358757496</x:v>
      </x:c>
      <x:c r="F39" s="47" t="n">
        <x:v>0.13846087455749512</x:v>
      </x:c>
      <x:c r="G39" s="48" t="n">
        <x:v>14155776</x:v>
      </x:c>
      <x:c r="H39" s="48" t="n">
        <x:v>0</x:v>
      </x:c>
      <x:c r="I39" s="48" t="n">
        <x:v>31698</x:v>
      </x:c>
    </x:row>
    <x:row r="40">
      <x:c r="A40" s="44" t="n">
        <x:v>10038</x:v>
      </x:c>
      <x:c r="B40" s="45" t="n">
        <x:v>65.92</x:v>
      </x:c>
      <x:c r="C40" s="46" t="n">
        <x:v>1.5994471450805665</x:v>
      </x:c>
      <x:c r="D40" s="44" t="n">
        <x:v>10000</x:v>
      </x:c>
      <x:c r="E40" s="47" t="n">
        <x:v>21.388491049408913</x:v>
      </x:c>
      <x:c r="F40" s="47" t="n">
        <x:v>0.176007192581892</x:v>
      </x:c>
      <x:c r="G40" s="48" t="n">
        <x:v>14155776</x:v>
      </x:c>
      <x:c r="H40" s="48" t="n">
        <x:v>0</x:v>
      </x:c>
      <x:c r="I40" s="48" t="n">
        <x:v>31722</x:v>
      </x:c>
    </x:row>
    <x:row r="41">
      <x:c r="A41" s="44" t="n">
        <x:v>10039</x:v>
      </x:c>
      <x:c r="B41" s="45" t="n">
        <x:v>65.8</x:v>
      </x:c>
      <x:c r="C41" s="46" t="n">
        <x:v>1.5665438491821289</x:v>
      </x:c>
      <x:c r="D41" s="44" t="n">
        <x:v>10000</x:v>
      </x:c>
      <x:c r="E41" s="47" t="n">
        <x:v>21.552703268826008</x:v>
      </x:c>
      <x:c r="F41" s="47" t="n">
        <x:v>0.19497322291135788</x:v>
      </x:c>
      <x:c r="G41" s="48" t="n">
        <x:v>14155776</x:v>
      </x:c>
      <x:c r="H41" s="48" t="n">
        <x:v>0</x:v>
      </x:c>
      <x:c r="I41" s="48" t="n">
        <x:v>31709</x:v>
      </x:c>
    </x:row>
    <x:row r="42">
      <x:c r="A42" s="44" t="n">
        <x:v>10040</x:v>
      </x:c>
      <x:c r="B42" s="45" t="n">
        <x:v>68.17</x:v>
      </x:c>
      <x:c r="C42" s="46" t="n">
        <x:v>1.4739326065063476</x:v>
      </x:c>
      <x:c r="D42" s="44" t="n">
        <x:v>10000</x:v>
      </x:c>
      <x:c r="E42" s="47" t="n">
        <x:v>21.50984936580062</x:v>
      </x:c>
      <x:c r="F42" s="47" t="n">
        <x:v>0.1891968622803688</x:v>
      </x:c>
      <x:c r="G42" s="48" t="n">
        <x:v>14155776</x:v>
      </x:c>
      <x:c r="H42" s="48" t="n">
        <x:v>0</x:v>
      </x:c>
      <x:c r="I42" s="48" t="n">
        <x:v>31715</x:v>
      </x:c>
    </x:row>
    <x:row r="43">
      <x:c r="A43" s="44" t="n">
        <x:v>10041</x:v>
      </x:c>
      <x:c r="B43" s="45" t="n">
        <x:v>65.51</x:v>
      </x:c>
      <x:c r="C43" s="46" t="n">
        <x:v>1.5740497650146483</x:v>
      </x:c>
      <x:c r="D43" s="44" t="n">
        <x:v>10000</x:v>
      </x:c>
      <x:c r="E43" s="47" t="n">
        <x:v>21.542061768472195</x:v>
      </x:c>
      <x:c r="F43" s="47" t="n">
        <x:v>0.13495216518640518</x:v>
      </x:c>
      <x:c r="G43" s="48" t="n">
        <x:v>14155776</x:v>
      </x:c>
      <x:c r="H43" s="48" t="n">
        <x:v>0</x:v>
      </x:c>
      <x:c r="I43" s="48" t="n">
        <x:v>31725</x:v>
      </x:c>
    </x:row>
    <x:row r="44">
      <x:c r="A44" s="44" t="n">
        <x:v>10042</x:v>
      </x:c>
      <x:c r="B44" s="45" t="n">
        <x:v>66.38</x:v>
      </x:c>
      <x:c r="C44" s="46" t="n">
        <x:v>1.5051946426391603</x:v>
      </x:c>
      <x:c r="D44" s="44" t="n">
        <x:v>10000</x:v>
      </x:c>
      <x:c r="E44" s="47" t="n">
        <x:v>21.505292285233736</x:v>
      </x:c>
      <x:c r="F44" s="47" t="n">
        <x:v>0.1555674858391285</x:v>
      </x:c>
      <x:c r="G44" s="48" t="n">
        <x:v>14155776</x:v>
      </x:c>
      <x:c r="H44" s="48" t="n">
        <x:v>0</x:v>
      </x:c>
      <x:c r="I44" s="48" t="n">
        <x:v>31707</x:v>
      </x:c>
    </x:row>
    <x:row r="45">
      <x:c r="A45" s="44" t="n">
        <x:v>10043</x:v>
      </x:c>
      <x:c r="B45" s="45" t="n">
        <x:v>64.78</x:v>
      </x:c>
      <x:c r="C45" s="46" t="n">
        <x:v>1.6127160568237304</x:v>
      </x:c>
      <x:c r="D45" s="44" t="n">
        <x:v>10000</x:v>
      </x:c>
      <x:c r="E45" s="47" t="n">
        <x:v>21.53013278543949</x:v>
      </x:c>
      <x:c r="F45" s="47" t="n">
        <x:v>0.18866006284952164</x:v>
      </x:c>
      <x:c r="G45" s="48" t="n">
        <x:v>14155776</x:v>
      </x:c>
      <x:c r="H45" s="48" t="n">
        <x:v>0</x:v>
      </x:c>
      <x:c r="I45" s="48" t="n">
        <x:v>31713</x:v>
      </x:c>
    </x:row>
    <x:row r="46">
      <x:c r="A46" s="44" t="n">
        <x:v>10044</x:v>
      </x:c>
      <x:c r="B46" s="45" t="n">
        <x:v>67.64</x:v>
      </x:c>
      <x:c r="C46" s="46" t="n">
        <x:v>1.5024575790405272</x:v>
      </x:c>
      <x:c r="D46" s="44" t="n">
        <x:v>10000</x:v>
      </x:c>
      <x:c r="E46" s="47" t="n">
        <x:v>21.489035543054342</x:v>
      </x:c>
      <x:c r="F46" s="47" t="n">
        <x:v>0.17374978587031364</x:v>
      </x:c>
      <x:c r="G46" s="48" t="n">
        <x:v>14155776</x:v>
      </x:c>
      <x:c r="H46" s="48" t="n">
        <x:v>0</x:v>
      </x:c>
      <x:c r="I46" s="48" t="n">
        <x:v>31732</x:v>
      </x:c>
    </x:row>
    <x:row r="47">
      <x:c r="A47" s="44" t="n">
        <x:v>10045</x:v>
      </x:c>
      <x:c r="B47" s="45" t="n">
        <x:v>66.81</x:v>
      </x:c>
      <x:c r="C47" s="46" t="n">
        <x:v>1.540682894897461</x:v>
      </x:c>
      <x:c r="D47" s="44" t="n">
        <x:v>10000</x:v>
      </x:c>
      <x:c r="E47" s="47" t="n">
        <x:v>21.549184661358595</x:v>
      </x:c>
      <x:c r="F47" s="47" t="n">
        <x:v>0.1485203094780445</x:v>
      </x:c>
      <x:c r="G47" s="48" t="n">
        <x:v>14155776</x:v>
      </x:c>
      <x:c r="H47" s="48" t="n">
        <x:v>0</x:v>
      </x:c>
      <x:c r="I47" s="48" t="n">
        <x:v>31712</x:v>
      </x:c>
    </x:row>
    <x:row r="48">
      <x:c r="A48" s="44" t="n">
        <x:v>10046</x:v>
      </x:c>
      <x:c r="B48" s="45" t="n">
        <x:v>66.01</x:v>
      </x:c>
      <x:c r="C48" s="46" t="n">
        <x:v>1.570245671081543</x:v>
      </x:c>
      <x:c r="D48" s="44" t="n">
        <x:v>10000</x:v>
      </x:c>
      <x:c r="E48" s="47" t="n">
        <x:v>21.492216613143682</x:v>
      </x:c>
      <x:c r="F48" s="47" t="n">
        <x:v>0.18492265418171883</x:v>
      </x:c>
      <x:c r="G48" s="48" t="n">
        <x:v>14155776</x:v>
      </x:c>
      <x:c r="H48" s="48" t="n">
        <x:v>0</x:v>
      </x:c>
      <x:c r="I48" s="48" t="n">
        <x:v>31722</x:v>
      </x:c>
    </x:row>
    <x:row r="49">
      <x:c r="A49" s="44" t="n">
        <x:v>10047</x:v>
      </x:c>
      <x:c r="B49" s="45" t="n">
        <x:v>66.17</x:v>
      </x:c>
      <x:c r="C49" s="46" t="n">
        <x:v>1.5328405044555664</x:v>
      </x:c>
      <x:c r="D49" s="44" t="n">
        <x:v>10000</x:v>
      </x:c>
      <x:c r="E49" s="47" t="n">
        <x:v>21.559488464146852</x:v>
      </x:c>
      <x:c r="F49" s="47" t="n">
        <x:v>0.1395651288330555</x:v>
      </x:c>
      <x:c r="G49" s="48" t="n">
        <x:v>14155776</x:v>
      </x:c>
      <x:c r="H49" s="48" t="n">
        <x:v>0</x:v>
      </x:c>
      <x:c r="I49" s="48" t="n">
        <x:v>31715</x:v>
      </x:c>
    </x:row>
    <x:row r="50">
      <x:c r="A50" s="44" t="n">
        <x:v>10048</x:v>
      </x:c>
      <x:c r="B50" s="45" t="n">
        <x:v>66.32</x:v>
      </x:c>
      <x:c r="C50" s="46" t="n">
        <x:v>1.5340603057861328</x:v>
      </x:c>
      <x:c r="D50" s="44" t="n">
        <x:v>10000</x:v>
      </x:c>
      <x:c r="E50" s="47" t="n">
        <x:v>21.47661715745926</x:v>
      </x:c>
      <x:c r="F50" s="47" t="n">
        <x:v>0.18141573294997215</x:v>
      </x:c>
      <x:c r="G50" s="48" t="n">
        <x:v>14155776</x:v>
      </x:c>
      <x:c r="H50" s="48" t="n">
        <x:v>0</x:v>
      </x:c>
      <x:c r="I50" s="48" t="n">
        <x:v>31688</x:v>
      </x:c>
    </x:row>
    <x:row r="51">
      <x:c r="A51" s="44" t="n">
        <x:v>10049</x:v>
      </x:c>
      <x:c r="B51" s="45" t="n">
        <x:v>64.24</x:v>
      </x:c>
      <x:c r="C51" s="46" t="n">
        <x:v>1.630975537109375</x:v>
      </x:c>
      <x:c r="D51" s="44" t="n">
        <x:v>10000</x:v>
      </x:c>
      <x:c r="E51" s="47" t="n">
        <x:v>21.52943693846464</x:v>
      </x:c>
      <x:c r="F51" s="47" t="n">
        <x:v>0.12249824032187462</x:v>
      </x:c>
      <x:c r="G51" s="48" t="n">
        <x:v>14155776</x:v>
      </x:c>
      <x:c r="H51" s="48" t="n">
        <x:v>0</x:v>
      </x:c>
      <x:c r="I51" s="48" t="n">
        <x:v>31722</x:v>
      </x:c>
    </x:row>
    <x:row r="52">
      <x:c r="A52" s="44" t="n">
        <x:v>10050</x:v>
      </x:c>
      <x:c r="B52" s="45" t="n">
        <x:v>62.84</x:v>
      </x:c>
      <x:c r="C52" s="46" t="n">
        <x:v>1.7258229461669923</x:v>
      </x:c>
      <x:c r="D52" s="44" t="n">
        <x:v>10000</x:v>
      </x:c>
      <x:c r="E52" s="47" t="n">
        <x:v>21.379590719938278</x:v>
      </x:c>
      <x:c r="F52" s="47" t="n">
        <x:v>0.19922372326254845</x:v>
      </x:c>
      <x:c r="G52" s="48" t="n">
        <x:v>14155776</x:v>
      </x:c>
      <x:c r="H52" s="48" t="n">
        <x:v>0</x:v>
      </x:c>
      <x:c r="I52" s="48" t="n">
        <x:v>31709</x:v>
      </x:c>
    </x:row>
    <x:row r="53">
      <x:c r="A53" s="44" t="n">
        <x:v>10051</x:v>
      </x:c>
      <x:c r="B53" s="45" t="n">
        <x:v>64.81</x:v>
      </x:c>
      <x:c r="C53" s="46" t="n">
        <x:v>1.6187428268432618</x:v>
      </x:c>
      <x:c r="D53" s="44" t="n">
        <x:v>10000</x:v>
      </x:c>
      <x:c r="E53" s="47" t="n">
        <x:v>21.536199685186148</x:v>
      </x:c>
      <x:c r="F53" s="47" t="n">
        <x:v>0.12848308309912682</x:v>
      </x:c>
      <x:c r="G53" s="48" t="n">
        <x:v>14155776</x:v>
      </x:c>
      <x:c r="H53" s="48" t="n">
        <x:v>0</x:v>
      </x:c>
      <x:c r="I53" s="48" t="n">
        <x:v>31738</x:v>
      </x:c>
    </x:row>
    <x:row r="54">
      <x:c r="A54" s="44" t="n">
        <x:v>10052</x:v>
      </x:c>
      <x:c r="B54" s="45" t="n">
        <x:v>65.98</x:v>
      </x:c>
      <x:c r="C54" s="46" t="n">
        <x:v>1.4839256713867188</x:v>
      </x:c>
      <x:c r="D54" s="44" t="n">
        <x:v>10000</x:v>
      </x:c>
      <x:c r="E54" s="47" t="n">
        <x:v>21.516879092901945</x:v>
      </x:c>
      <x:c r="F54" s="47" t="n">
        <x:v>0.1940615475177765</x:v>
      </x:c>
      <x:c r="G54" s="48" t="n">
        <x:v>14155776</x:v>
      </x:c>
      <x:c r="H54" s="48" t="n">
        <x:v>0</x:v>
      </x:c>
      <x:c r="I54" s="48" t="n">
        <x:v>31706</x:v>
      </x:c>
    </x:row>
    <x:row r="55">
      <x:c r="A55" s="44" t="n">
        <x:v>10053</x:v>
      </x:c>
      <x:c r="B55" s="45" t="n">
        <x:v>67.36</x:v>
      </x:c>
      <x:c r="C55" s="46" t="n">
        <x:v>1.5011800277709961</x:v>
      </x:c>
      <x:c r="D55" s="44" t="n">
        <x:v>10000</x:v>
      </x:c>
      <x:c r="E55" s="47" t="n">
        <x:v>21.620032723993063</x:v>
      </x:c>
      <x:c r="F55" s="47" t="n">
        <x:v>0.06404303759336472</x:v>
      </x:c>
      <x:c r="G55" s="48" t="n">
        <x:v>14155776</x:v>
      </x:c>
      <x:c r="H55" s="48" t="n">
        <x:v>0</x:v>
      </x:c>
      <x:c r="I55" s="48" t="n">
        <x:v>31737</x:v>
      </x:c>
    </x:row>
    <x:row r="56">
      <x:c r="A56" s="44" t="n">
        <x:v>10054</x:v>
      </x:c>
      <x:c r="B56" s="45" t="n">
        <x:v>65.36</x:v>
      </x:c>
      <x:c r="C56" s="46" t="n">
        <x:v>1.5946872329711914</x:v>
      </x:c>
      <x:c r="D56" s="44" t="n">
        <x:v>10000</x:v>
      </x:c>
      <x:c r="E56" s="47" t="n">
        <x:v>21.49253510311246</x:v>
      </x:c>
      <x:c r="F56" s="47" t="n">
        <x:v>0.15360620617866516</x:v>
      </x:c>
      <x:c r="G56" s="48" t="n">
        <x:v>14155776</x:v>
      </x:c>
      <x:c r="H56" s="48" t="n">
        <x:v>0</x:v>
      </x:c>
      <x:c r="I56" s="48" t="n">
        <x:v>31727</x:v>
      </x:c>
    </x:row>
    <x:row r="57">
      <x:c r="A57" s="44" t="n">
        <x:v>10055</x:v>
      </x:c>
      <x:c r="B57" s="45" t="n">
        <x:v>66.52</x:v>
      </x:c>
      <x:c r="C57" s="46" t="n">
        <x:v>1.5234865844726562</x:v>
      </x:c>
      <x:c r="D57" s="44" t="n">
        <x:v>10000</x:v>
      </x:c>
      <x:c r="E57" s="47" t="n">
        <x:v>21.56358615309</x:v>
      </x:c>
      <x:c r="F57" s="47" t="n">
        <x:v>0.13720791414380074</x:v>
      </x:c>
      <x:c r="G57" s="48" t="n">
        <x:v>14155776</x:v>
      </x:c>
      <x:c r="H57" s="48" t="n">
        <x:v>0</x:v>
      </x:c>
      <x:c r="I57" s="48" t="n">
        <x:v>31710</x:v>
      </x:c>
    </x:row>
    <x:row r="58">
      <x:c r="A58" s="44" t="n">
        <x:v>10056</x:v>
      </x:c>
      <x:c r="B58" s="45" t="n">
        <x:v>67.56</x:v>
      </x:c>
      <x:c r="C58" s="46" t="n">
        <x:v>1.4829294326782227</x:v>
      </x:c>
      <x:c r="D58" s="44" t="n">
        <x:v>10000</x:v>
      </x:c>
      <x:c r="E58" s="47" t="n">
        <x:v>21.474905502051115</x:v>
      </x:c>
      <x:c r="F58" s="47" t="n">
        <x:v>0.18810636177659035</x:v>
      </x:c>
      <x:c r="G58" s="48" t="n">
        <x:v>14155776</x:v>
      </x:c>
      <x:c r="H58" s="48" t="n">
        <x:v>0</x:v>
      </x:c>
      <x:c r="I58" s="48" t="n">
        <x:v>31701</x:v>
      </x:c>
    </x:row>
    <x:row r="59">
      <x:c r="A59" s="44" t="n">
        <x:v>10057</x:v>
      </x:c>
      <x:c r="B59" s="45" t="n">
        <x:v>66.36</x:v>
      </x:c>
      <x:c r="C59" s="46" t="n">
        <x:v>1.5457164672851562</x:v>
      </x:c>
      <x:c r="D59" s="44" t="n">
        <x:v>10000</x:v>
      </x:c>
      <x:c r="E59" s="47" t="n">
        <x:v>21.59457316994667</x:v>
      </x:c>
      <x:c r="F59" s="47" t="n">
        <x:v>0.1335403397679329</x:v>
      </x:c>
      <x:c r="G59" s="48" t="n">
        <x:v>14155776</x:v>
      </x:c>
      <x:c r="H59" s="48" t="n">
        <x:v>0</x:v>
      </x:c>
      <x:c r="I59" s="48" t="n">
        <x:v>31747</x:v>
      </x:c>
    </x:row>
    <x:row r="60">
      <x:c r="A60" s="44" t="n">
        <x:v>10058</x:v>
      </x:c>
      <x:c r="B60" s="45" t="n">
        <x:v>65.03</x:v>
      </x:c>
      <x:c r="C60" s="46" t="n">
        <x:v>1.6202989486694337</x:v>
      </x:c>
      <x:c r="D60" s="44" t="n">
        <x:v>10000</x:v>
      </x:c>
      <x:c r="E60" s="47" t="n">
        <x:v>21.512611158192158</x:v>
      </x:c>
      <x:c r="F60" s="47" t="n">
        <x:v>0.2947242930531502</x:v>
      </x:c>
      <x:c r="G60" s="48" t="n">
        <x:v>14155776</x:v>
      </x:c>
      <x:c r="H60" s="48" t="n">
        <x:v>0</x:v>
      </x:c>
      <x:c r="I60" s="48" t="n">
        <x:v>31703</x:v>
      </x:c>
    </x:row>
    <x:row r="61">
      <x:c r="A61" s="44" t="n">
        <x:v>10059</x:v>
      </x:c>
      <x:c r="B61" s="45" t="n">
        <x:v>67.06</x:v>
      </x:c>
      <x:c r="C61" s="46" t="n">
        <x:v>1.5067500717163087</x:v>
      </x:c>
      <x:c r="D61" s="44" t="n">
        <x:v>10000</x:v>
      </x:c>
      <x:c r="E61" s="47" t="n">
        <x:v>21.638697009533644</x:v>
      </x:c>
      <x:c r="F61" s="47" t="n">
        <x:v>0.08167116716504097</x:v>
      </x:c>
      <x:c r="G61" s="48" t="n">
        <x:v>14155776</x:v>
      </x:c>
      <x:c r="H61" s="48" t="n">
        <x:v>0</x:v>
      </x:c>
      <x:c r="I61" s="48" t="n">
        <x:v>31715</x:v>
      </x:c>
    </x:row>
    <x:row r="62">
      <x:c r="A62" s="44" t="n">
        <x:v>10060</x:v>
      </x:c>
      <x:c r="B62" s="45" t="n">
        <x:v>65.52</x:v>
      </x:c>
      <x:c r="C62" s="46" t="n">
        <x:v>1.5921282287597656</x:v>
      </x:c>
      <x:c r="D62" s="44" t="n">
        <x:v>10000</x:v>
      </x:c>
      <x:c r="E62" s="47" t="n">
        <x:v>21.42158580943942</x:v>
      </x:c>
      <x:c r="F62" s="47" t="n">
        <x:v>0.16317233815789223</x:v>
      </x:c>
      <x:c r="G62" s="48" t="n">
        <x:v>14155776</x:v>
      </x:c>
      <x:c r="H62" s="48" t="n">
        <x:v>0</x:v>
      </x:c>
      <x:c r="I62" s="48" t="n">
        <x:v>31699</x:v>
      </x:c>
    </x:row>
    <x:row r="63">
      <x:c r="A63" s="44" t="n">
        <x:v>10061</x:v>
      </x:c>
      <x:c r="B63" s="45" t="n">
        <x:v>67.04</x:v>
      </x:c>
      <x:c r="C63" s="46" t="n">
        <x:v>1.4652680755615235</x:v>
      </x:c>
      <x:c r="D63" s="44" t="n">
        <x:v>10000</x:v>
      </x:c>
      <x:c r="E63" s="47" t="n">
        <x:v>21.57723043859005</x:v>
      </x:c>
      <x:c r="F63" s="47" t="n">
        <x:v>0.13630100339651108</x:v>
      </x:c>
      <x:c r="G63" s="48" t="n">
        <x:v>14155776</x:v>
      </x:c>
      <x:c r="H63" s="48" t="n">
        <x:v>0</x:v>
      </x:c>
      <x:c r="I63" s="48" t="n">
        <x:v>31713</x:v>
      </x:c>
    </x:row>
    <x:row r="64">
      <x:c r="A64" s="44" t="n">
        <x:v>10062</x:v>
      </x:c>
      <x:c r="B64" s="45" t="n">
        <x:v>66.27</x:v>
      </x:c>
      <x:c r="C64" s="46" t="n">
        <x:v>1.529527293395996</x:v>
      </x:c>
      <x:c r="D64" s="44" t="n">
        <x:v>10000</x:v>
      </x:c>
      <x:c r="E64" s="47" t="n">
        <x:v>21.4245545566082</x:v>
      </x:c>
      <x:c r="F64" s="47" t="n">
        <x:v>0.1449941024184227</x:v>
      </x:c>
      <x:c r="G64" s="48" t="n">
        <x:v>14155776</x:v>
      </x:c>
      <x:c r="H64" s="48" t="n">
        <x:v>0</x:v>
      </x:c>
      <x:c r="I64" s="48" t="n">
        <x:v>31717</x:v>
      </x:c>
    </x:row>
    <x:row r="65">
      <x:c r="A65" s="44" t="n">
        <x:v>10063</x:v>
      </x:c>
      <x:c r="B65" s="45" t="n">
        <x:v>67.44</x:v>
      </x:c>
      <x:c r="C65" s="46" t="n">
        <x:v>1.4716576248168944</x:v>
      </x:c>
      <x:c r="D65" s="44" t="n">
        <x:v>10000</x:v>
      </x:c>
      <x:c r="E65" s="47" t="n">
        <x:v>21.526895597577095</x:v>
      </x:c>
      <x:c r="F65" s="47" t="n">
        <x:v>0.17562195658683777</x:v>
      </x:c>
      <x:c r="G65" s="48" t="n">
        <x:v>14155776</x:v>
      </x:c>
      <x:c r="H65" s="48" t="n">
        <x:v>0</x:v>
      </x:c>
      <x:c r="I65" s="48" t="n">
        <x:v>31723</x:v>
      </x:c>
    </x:row>
    <x:row r="66">
      <x:c r="A66" s="44" t="n">
        <x:v>10064</x:v>
      </x:c>
      <x:c r="B66" s="45" t="n">
        <x:v>65.75</x:v>
      </x:c>
      <x:c r="C66" s="46" t="n">
        <x:v>1.5334666275024413</x:v>
      </x:c>
      <x:c r="D66" s="44" t="n">
        <x:v>10000</x:v>
      </x:c>
      <x:c r="E66" s="47" t="n">
        <x:v>21.52602243795991</x:v>
      </x:c>
      <x:c r="F66" s="47" t="n">
        <x:v>0.1638808436691761</x:v>
      </x:c>
      <x:c r="G66" s="48" t="n">
        <x:v>14155776</x:v>
      </x:c>
      <x:c r="H66" s="48" t="n">
        <x:v>0</x:v>
      </x:c>
      <x:c r="I66" s="48" t="n">
        <x:v>31726</x:v>
      </x:c>
    </x:row>
    <x:row r="67">
      <x:c r="A67" s="44" t="n">
        <x:v>10065</x:v>
      </x:c>
      <x:c r="B67" s="45" t="n">
        <x:v>64.19</x:v>
      </x:c>
      <x:c r="C67" s="46" t="n">
        <x:v>1.6359594436645508</x:v>
      </x:c>
      <x:c r="D67" s="44" t="n">
        <x:v>10000</x:v>
      </x:c>
      <x:c r="E67" s="47" t="n">
        <x:v>21.564944345504045</x:v>
      </x:c>
      <x:c r="F67" s="47" t="n">
        <x:v>0.1497487537562847</x:v>
      </x:c>
      <x:c r="G67" s="48" t="n">
        <x:v>14155776</x:v>
      </x:c>
      <x:c r="H67" s="48" t="n">
        <x:v>0</x:v>
      </x:c>
      <x:c r="I67" s="48" t="n">
        <x:v>31719</x:v>
      </x:c>
    </x:row>
    <x:row r="68">
      <x:c r="A68" s="44" t="n">
        <x:v>10066</x:v>
      </x:c>
      <x:c r="B68" s="45" t="n">
        <x:v>66.72</x:v>
      </x:c>
      <x:c r="C68" s="46" t="n">
        <x:v>1.5183281051635742</x:v>
      </x:c>
      <x:c r="D68" s="44" t="n">
        <x:v>10000</x:v>
      </x:c>
      <x:c r="E68" s="47" t="n">
        <x:v>21.46908811852336</x:v>
      </x:c>
      <x:c r="F68" s="47" t="n">
        <x:v>0.1281285136938095</x:v>
      </x:c>
      <x:c r="G68" s="48" t="n">
        <x:v>14155776</x:v>
      </x:c>
      <x:c r="H68" s="48" t="n">
        <x:v>0</x:v>
      </x:c>
      <x:c r="I68" s="48" t="n">
        <x:v>31717</x:v>
      </x:c>
    </x:row>
    <x:row r="69">
      <x:c r="A69" s="44" t="n">
        <x:v>10067</x:v>
      </x:c>
      <x:c r="B69" s="45" t="n">
        <x:v>66.55</x:v>
      </x:c>
      <x:c r="C69" s="46" t="n">
        <x:v>1.5264862899780274</x:v>
      </x:c>
      <x:c r="D69" s="44" t="n">
        <x:v>10000</x:v>
      </x:c>
      <x:c r="E69" s="47" t="n">
        <x:v>21.594367310404778</x:v>
      </x:c>
      <x:c r="F69" s="47" t="n">
        <x:v>0.13662772253155708</x:v>
      </x:c>
      <x:c r="G69" s="48" t="n">
        <x:v>14155776</x:v>
      </x:c>
      <x:c r="H69" s="48" t="n">
        <x:v>0</x:v>
      </x:c>
      <x:c r="I69" s="48" t="n">
        <x:v>31728</x:v>
      </x:c>
    </x:row>
    <x:row r="70">
      <x:c r="A70" s="44" t="n">
        <x:v>10068</x:v>
      </x:c>
      <x:c r="B70" s="45" t="n">
        <x:v>67</x:v>
      </x:c>
      <x:c r="C70" s="46" t="n">
        <x:v>1.4793728759765625</x:v>
      </x:c>
      <x:c r="D70" s="44" t="n">
        <x:v>10000</x:v>
      </x:c>
      <x:c r="E70" s="47" t="n">
        <x:v>21.41132739186287</x:v>
      </x:c>
      <x:c r="F70" s="47" t="n">
        <x:v>0.1268705241382122</x:v>
      </x:c>
      <x:c r="G70" s="48" t="n">
        <x:v>14155776</x:v>
      </x:c>
      <x:c r="H70" s="48" t="n">
        <x:v>0</x:v>
      </x:c>
      <x:c r="I70" s="48" t="n">
        <x:v>31720</x:v>
      </x:c>
    </x:row>
    <x:row r="71">
      <x:c r="A71" s="44" t="n">
        <x:v>10069</x:v>
      </x:c>
      <x:c r="B71" s="45" t="n">
        <x:v>65</x:v>
      </x:c>
      <x:c r="C71" s="46" t="n">
        <x:v>1.6274892425537109</x:v>
      </x:c>
      <x:c r="D71" s="44" t="n">
        <x:v>10000</x:v>
      </x:c>
      <x:c r="E71" s="47" t="n">
        <x:v>21.560785938054323</x:v>
      </x:c>
      <x:c r="F71" s="47" t="n">
        <x:v>0.15738819539546967</x:v>
      </x:c>
      <x:c r="G71" s="48" t="n">
        <x:v>14155776</x:v>
      </x:c>
      <x:c r="H71" s="48" t="n">
        <x:v>0</x:v>
      </x:c>
      <x:c r="I71" s="48" t="n">
        <x:v>31730</x:v>
      </x:c>
    </x:row>
    <x:row r="72">
      <x:c r="A72" s="44" t="n">
        <x:v>10070</x:v>
      </x:c>
      <x:c r="B72" s="45" t="n">
        <x:v>65.21</x:v>
      </x:c>
      <x:c r="C72" s="46" t="n">
        <x:v>1.5869718490600586</x:v>
      </x:c>
      <x:c r="D72" s="44" t="n">
        <x:v>10000</x:v>
      </x:c>
      <x:c r="E72" s="47" t="n">
        <x:v>21.49541736394167</x:v>
      </x:c>
      <x:c r="F72" s="47" t="n">
        <x:v>0.06739779934287071</x:v>
      </x:c>
      <x:c r="G72" s="48" t="n">
        <x:v>14155776</x:v>
      </x:c>
      <x:c r="H72" s="48" t="n">
        <x:v>0</x:v>
      </x:c>
      <x:c r="I72" s="48" t="n">
        <x:v>31748</x:v>
      </x:c>
    </x:row>
    <x:row r="73">
      <x:c r="A73" s="44" t="n">
        <x:v>10071</x:v>
      </x:c>
      <x:c r="B73" s="45" t="n">
        <x:v>67.4</x:v>
      </x:c>
      <x:c r="C73" s="46" t="n">
        <x:v>1.4881244842529298</x:v>
      </x:c>
      <x:c r="D73" s="44" t="n">
        <x:v>10000</x:v>
      </x:c>
      <x:c r="E73" s="47" t="n">
        <x:v>21.563242588192225</x:v>
      </x:c>
      <x:c r="F73" s="47" t="n">
        <x:v>0.1354975588619709</x:v>
      </x:c>
      <x:c r="G73" s="48" t="n">
        <x:v>14155776</x:v>
      </x:c>
      <x:c r="H73" s="48" t="n">
        <x:v>0</x:v>
      </x:c>
      <x:c r="I73" s="48" t="n">
        <x:v>31713</x:v>
      </x:c>
    </x:row>
    <x:row r="74">
      <x:c r="A74" s="44" t="n">
        <x:v>10072</x:v>
      </x:c>
      <x:c r="B74" s="45" t="n">
        <x:v>65.31</x:v>
      </x:c>
      <x:c r="C74" s="46" t="n">
        <x:v>1.6094333236694336</x:v>
      </x:c>
      <x:c r="D74" s="44" t="n">
        <x:v>10000</x:v>
      </x:c>
      <x:c r="E74" s="47" t="n">
        <x:v>21.58059574663639</x:v>
      </x:c>
      <x:c r="F74" s="47" t="n">
        <x:v>0.0733640044927597</x:v>
      </x:c>
      <x:c r="G74" s="48" t="n">
        <x:v>14155776</x:v>
      </x:c>
      <x:c r="H74" s="48" t="n">
        <x:v>0</x:v>
      </x:c>
      <x:c r="I74" s="48" t="n">
        <x:v>31692</x:v>
      </x:c>
    </x:row>
    <x:row r="75">
      <x:c r="A75" s="44" t="n">
        <x:v>10073</x:v>
      </x:c>
      <x:c r="B75" s="45" t="n">
        <x:v>66.92</x:v>
      </x:c>
      <x:c r="C75" s="46" t="n">
        <x:v>1.4801153732299805</x:v>
      </x:c>
      <x:c r="D75" s="44" t="n">
        <x:v>10000</x:v>
      </x:c>
      <x:c r="E75" s="47" t="n">
        <x:v>21.56685746461153</x:v>
      </x:c>
      <x:c r="F75" s="47" t="n">
        <x:v>0.19462565332651138</x:v>
      </x:c>
      <x:c r="G75" s="48" t="n">
        <x:v>14155776</x:v>
      </x:c>
      <x:c r="H75" s="48" t="n">
        <x:v>0</x:v>
      </x:c>
      <x:c r="I75" s="48" t="n">
        <x:v>31731</x:v>
      </x:c>
    </x:row>
    <x:row r="76">
      <x:c r="A76" s="44" t="n">
        <x:v>10074</x:v>
      </x:c>
      <x:c r="B76" s="45" t="n">
        <x:v>65.13</x:v>
      </x:c>
      <x:c r="C76" s="46" t="n">
        <x:v>1.6077212127685547</x:v>
      </x:c>
      <x:c r="D76" s="44" t="n">
        <x:v>10000</x:v>
      </x:c>
      <x:c r="E76" s="47" t="n">
        <x:v>21.589876767247915</x:v>
      </x:c>
      <x:c r="F76" s="47" t="n">
        <x:v>0.09691096469759941</x:v>
      </x:c>
      <x:c r="G76" s="48" t="n">
        <x:v>14155776</x:v>
      </x:c>
      <x:c r="H76" s="48" t="n">
        <x:v>0</x:v>
      </x:c>
      <x:c r="I76" s="48" t="n">
        <x:v>31725</x:v>
      </x:c>
    </x:row>
    <x:row r="77">
      <x:c r="A77" s="44" t="n">
        <x:v>10075</x:v>
      </x:c>
      <x:c r="B77" s="45" t="n">
        <x:v>65.41</x:v>
      </x:c>
      <x:c r="C77" s="46" t="n">
        <x:v>1.5625029724121093</x:v>
      </x:c>
      <x:c r="D77" s="44" t="n">
        <x:v>10000</x:v>
      </x:c>
      <x:c r="E77" s="47" t="n">
        <x:v>21.542881030589342</x:v>
      </x:c>
      <x:c r="F77" s="47" t="n">
        <x:v>0.13378336653113365</x:v>
      </x:c>
      <x:c r="G77" s="48" t="n">
        <x:v>14155776</x:v>
      </x:c>
      <x:c r="H77" s="48" t="n">
        <x:v>0</x:v>
      </x:c>
      <x:c r="I77" s="48" t="n">
        <x:v>31707</x:v>
      </x:c>
    </x:row>
    <x:row r="78">
      <x:c r="A78" s="44" t="n">
        <x:v>10076</x:v>
      </x:c>
      <x:c r="B78" s="45" t="n">
        <x:v>67.78</x:v>
      </x:c>
      <x:c r="C78" s="46" t="n">
        <x:v>1.471110125732422</x:v>
      </x:c>
      <x:c r="D78" s="44" t="n">
        <x:v>10000</x:v>
      </x:c>
      <x:c r="E78" s="47" t="n">
        <x:v>21.577317614108324</x:v>
      </x:c>
      <x:c r="F78" s="47" t="n">
        <x:v>0.08449698612093925</x:v>
      </x:c>
      <x:c r="G78" s="48" t="n">
        <x:v>14155776</x:v>
      </x:c>
      <x:c r="H78" s="48" t="n">
        <x:v>0</x:v>
      </x:c>
      <x:c r="I78" s="48" t="n">
        <x:v>31716</x:v>
      </x:c>
    </x:row>
    <x:row r="79">
      <x:c r="A79" s="44" t="n">
        <x:v>10077</x:v>
      </x:c>
      <x:c r="B79" s="45" t="n">
        <x:v>66.38</x:v>
      </x:c>
      <x:c r="C79" s="46" t="n">
        <x:v>1.5571664642333984</x:v>
      </x:c>
      <x:c r="D79" s="44" t="n">
        <x:v>10000</x:v>
      </x:c>
      <x:c r="E79" s="47" t="n">
        <x:v>21.546888168901205</x:v>
      </x:c>
      <x:c r="F79" s="47" t="n">
        <x:v>0.1323525346815586</x:v>
      </x:c>
      <x:c r="G79" s="48" t="n">
        <x:v>14155776</x:v>
      </x:c>
      <x:c r="H79" s="48" t="n">
        <x:v>0</x:v>
      </x:c>
      <x:c r="I79" s="48" t="n">
        <x:v>31710</x:v>
      </x:c>
    </x:row>
    <x:row r="80">
      <x:c r="A80" s="44" t="n">
        <x:v>10078</x:v>
      </x:c>
      <x:c r="B80" s="45" t="n">
        <x:v>67.52</x:v>
      </x:c>
      <x:c r="C80" s="46" t="n">
        <x:v>1.4454718322753906</x:v>
      </x:c>
      <x:c r="D80" s="44" t="n">
        <x:v>10000</x:v>
      </x:c>
      <x:c r="E80" s="47" t="n">
        <x:v>21.510646298527718</x:v>
      </x:c>
      <x:c r="F80" s="47" t="n">
        <x:v>0.16765247657895088</x:v>
      </x:c>
      <x:c r="G80" s="48" t="n">
        <x:v>14155776</x:v>
      </x:c>
      <x:c r="H80" s="48" t="n">
        <x:v>0</x:v>
      </x:c>
      <x:c r="I80" s="48" t="n">
        <x:v>31731</x:v>
      </x:c>
    </x:row>
    <x:row r="81">
      <x:c r="A81" s="44" t="n">
        <x:v>10079</x:v>
      </x:c>
      <x:c r="B81" s="45" t="n">
        <x:v>67.29</x:v>
      </x:c>
      <x:c r="C81" s="46" t="n">
        <x:v>1.4476147674560547</x:v>
      </x:c>
      <x:c r="D81" s="44" t="n">
        <x:v>10000</x:v>
      </x:c>
      <x:c r="E81" s="47" t="n">
        <x:v>21.56271058693528</x:v>
      </x:c>
      <x:c r="F81" s="47" t="n">
        <x:v>0.13645081222057343</x:v>
      </x:c>
      <x:c r="G81" s="48" t="n">
        <x:v>14155776</x:v>
      </x:c>
      <x:c r="H81" s="48" t="n">
        <x:v>0</x:v>
      </x:c>
      <x:c r="I81" s="48" t="n">
        <x:v>31723</x:v>
      </x:c>
    </x:row>
    <x:row r="82">
      <x:c r="A82" s="44" t="n">
        <x:v>10080</x:v>
      </x:c>
      <x:c r="B82" s="45" t="n">
        <x:v>67.85</x:v>
      </x:c>
      <x:c r="C82" s="46" t="n">
        <x:v>1.4658225814819337</x:v>
      </x:c>
      <x:c r="D82" s="44" t="n">
        <x:v>10000</x:v>
      </x:c>
      <x:c r="E82" s="47" t="n">
        <x:v>21.528277929872274</x:v>
      </x:c>
      <x:c r="F82" s="47" t="n">
        <x:v>0.16842595115303993</x:v>
      </x:c>
      <x:c r="G82" s="48" t="n">
        <x:v>14155776</x:v>
      </x:c>
      <x:c r="H82" s="48" t="n">
        <x:v>0</x:v>
      </x:c>
      <x:c r="I82" s="48" t="n">
        <x:v>31707</x:v>
      </x:c>
    </x:row>
    <x:row r="83">
      <x:c r="A83" s="44" t="n">
        <x:v>10081</x:v>
      </x:c>
      <x:c r="B83" s="45" t="n">
        <x:v>66.54</x:v>
      </x:c>
      <x:c r="C83" s="46" t="n">
        <x:v>1.5169008178710937</x:v>
      </x:c>
      <x:c r="D83" s="44" t="n">
        <x:v>10000</x:v>
      </x:c>
      <x:c r="E83" s="47" t="n">
        <x:v>21.560196984559298</x:v>
      </x:c>
      <x:c r="F83" s="47" t="n">
        <x:v>0.1964038386940956</x:v>
      </x:c>
      <x:c r="G83" s="48" t="n">
        <x:v>14155776</x:v>
      </x:c>
      <x:c r="H83" s="48" t="n">
        <x:v>0</x:v>
      </x:c>
      <x:c r="I83" s="48" t="n">
        <x:v>31710</x:v>
      </x:c>
    </x:row>
    <x:row r="84">
      <x:c r="A84" s="44" t="n">
        <x:v>10082</x:v>
      </x:c>
      <x:c r="B84" s="45" t="n">
        <x:v>65.36</x:v>
      </x:c>
      <x:c r="C84" s="46" t="n">
        <x:v>1.6015479370117187</x:v>
      </x:c>
      <x:c r="D84" s="44" t="n">
        <x:v>10000</x:v>
      </x:c>
      <x:c r="E84" s="47" t="n">
        <x:v>21.505203060805798</x:v>
      </x:c>
      <x:c r="F84" s="47" t="n">
        <x:v>0.13220910355448723</x:v>
      </x:c>
      <x:c r="G84" s="48" t="n">
        <x:v>14155776</x:v>
      </x:c>
      <x:c r="H84" s="48" t="n">
        <x:v>0</x:v>
      </x:c>
      <x:c r="I84" s="48" t="n">
        <x:v>31701</x:v>
      </x:c>
    </x:row>
    <x:row r="85">
      <x:c r="A85" s="44" t="n">
        <x:v>10083</x:v>
      </x:c>
      <x:c r="B85" s="45" t="n">
        <x:v>67.24</x:v>
      </x:c>
      <x:c r="C85" s="46" t="n">
        <x:v>1.5368007736206055</x:v>
      </x:c>
      <x:c r="D85" s="44" t="n">
        <x:v>10000</x:v>
      </x:c>
      <x:c r="E85" s="47" t="n">
        <x:v>21.621340300887823</x:v>
      </x:c>
      <x:c r="F85" s="47" t="n">
        <x:v>0.1283607929944992</x:v>
      </x:c>
      <x:c r="G85" s="48" t="n">
        <x:v>14155776</x:v>
      </x:c>
      <x:c r="H85" s="48" t="n">
        <x:v>0</x:v>
      </x:c>
      <x:c r="I85" s="48" t="n">
        <x:v>31727</x:v>
      </x:c>
    </x:row>
    <x:row r="86">
      <x:c r="A86" s="44" t="n">
        <x:v>10084</x:v>
      </x:c>
      <x:c r="B86" s="45" t="n">
        <x:v>65.97</x:v>
      </x:c>
      <x:c r="C86" s="46" t="n">
        <x:v>1.5423106887817384</x:v>
      </x:c>
      <x:c r="D86" s="44" t="n">
        <x:v>10000</x:v>
      </x:c>
      <x:c r="E86" s="47" t="n">
        <x:v>21.467599257826805</x:v>
      </x:c>
      <x:c r="F86" s="47" t="n">
        <x:v>0.17268932983279228</x:v>
      </x:c>
      <x:c r="G86" s="48" t="n">
        <x:v>14155776</x:v>
      </x:c>
      <x:c r="H86" s="48" t="n">
        <x:v>0</x:v>
      </x:c>
      <x:c r="I86" s="48" t="n">
        <x:v>31717</x:v>
      </x:c>
    </x:row>
    <x:row r="87">
      <x:c r="A87" s="44" t="n">
        <x:v>10085</x:v>
      </x:c>
      <x:c r="B87" s="45" t="n">
        <x:v>64.7</x:v>
      </x:c>
      <x:c r="C87" s="46" t="n">
        <x:v>1.5738370178222656</x:v>
      </x:c>
      <x:c r="D87" s="44" t="n">
        <x:v>10000</x:v>
      </x:c>
      <x:c r="E87" s="47" t="n">
        <x:v>21.607623048126698</x:v>
      </x:c>
      <x:c r="F87" s="47" t="n">
        <x:v>0.07096249610185623</x:v>
      </x:c>
      <x:c r="G87" s="48" t="n">
        <x:v>14155776</x:v>
      </x:c>
      <x:c r="H87" s="48" t="n">
        <x:v>0</x:v>
      </x:c>
      <x:c r="I87" s="48" t="n">
        <x:v>31704</x:v>
      </x:c>
    </x:row>
    <x:row r="88">
      <x:c r="A88" s="44" t="n">
        <x:v>10086</x:v>
      </x:c>
      <x:c r="B88" s="45" t="n">
        <x:v>66.69</x:v>
      </x:c>
      <x:c r="C88" s="46" t="n">
        <x:v>1.4883402908325196</x:v>
      </x:c>
      <x:c r="D88" s="44" t="n">
        <x:v>10000</x:v>
      </x:c>
      <x:c r="E88" s="47" t="n">
        <x:v>21.556076165288687</x:v>
      </x:c>
      <x:c r="F88" s="47" t="n">
        <x:v>0.13431500270962715</x:v>
      </x:c>
      <x:c r="G88" s="48" t="n">
        <x:v>14155776</x:v>
      </x:c>
      <x:c r="H88" s="48" t="n">
        <x:v>0</x:v>
      </x:c>
      <x:c r="I88" s="48" t="n">
        <x:v>31699</x:v>
      </x:c>
    </x:row>
    <x:row r="89">
      <x:c r="A89" s="44" t="n">
        <x:v>10087</x:v>
      </x:c>
      <x:c r="B89" s="45" t="n">
        <x:v>67.52</x:v>
      </x:c>
      <x:c r="C89" s="46" t="n">
        <x:v>1.4967599411010741</x:v>
      </x:c>
      <x:c r="D89" s="44" t="n">
        <x:v>10000</x:v>
      </x:c>
      <x:c r="E89" s="47" t="n">
        <x:v>21.57075498998165</x:v>
      </x:c>
      <x:c r="F89" s="47" t="n">
        <x:v>0.1447148732841015</x:v>
      </x:c>
      <x:c r="G89" s="48" t="n">
        <x:v>14155776</x:v>
      </x:c>
      <x:c r="H89" s="48" t="n">
        <x:v>0</x:v>
      </x:c>
      <x:c r="I89" s="48" t="n">
        <x:v>31705</x:v>
      </x:c>
    </x:row>
    <x:row r="90">
      <x:c r="A90" s="44" t="n">
        <x:v>10088</x:v>
      </x:c>
      <x:c r="B90" s="45" t="n">
        <x:v>61.89</x:v>
      </x:c>
      <x:c r="C90" s="46" t="n">
        <x:v>1.786502244567871</x:v>
      </x:c>
      <x:c r="D90" s="44" t="n">
        <x:v>10000</x:v>
      </x:c>
      <x:c r="E90" s="47" t="n">
        <x:v>21.498278241604567</x:v>
      </x:c>
      <x:c r="F90" s="47" t="n">
        <x:v>0.19589966163039207</x:v>
      </x:c>
      <x:c r="G90" s="48" t="n">
        <x:v>14155776</x:v>
      </x:c>
      <x:c r="H90" s="48" t="n">
        <x:v>0</x:v>
      </x:c>
      <x:c r="I90" s="48" t="n">
        <x:v>31731</x:v>
      </x:c>
    </x:row>
    <x:row r="91">
      <x:c r="A91" s="44" t="n">
        <x:v>10089</x:v>
      </x:c>
      <x:c r="B91" s="45" t="n">
        <x:v>66.38</x:v>
      </x:c>
      <x:c r="C91" s="46" t="n">
        <x:v>1.540576806640625</x:v>
      </x:c>
      <x:c r="D91" s="44" t="n">
        <x:v>10000</x:v>
      </x:c>
      <x:c r="E91" s="47" t="n">
        <x:v>21.581550132483244</x:v>
      </x:c>
      <x:c r="F91" s="47" t="n">
        <x:v>0.13712502270936966</x:v>
      </x:c>
      <x:c r="G91" s="48" t="n">
        <x:v>14155776</x:v>
      </x:c>
      <x:c r="H91" s="48" t="n">
        <x:v>0</x:v>
      </x:c>
      <x:c r="I91" s="48" t="n">
        <x:v>31715</x:v>
      </x:c>
    </x:row>
    <x:row r="92">
      <x:c r="A92" s="44" t="n">
        <x:v>10090</x:v>
      </x:c>
      <x:c r="B92" s="45" t="n">
        <x:v>67.54</x:v>
      </x:c>
      <x:c r="C92" s="46" t="n">
        <x:v>1.4741298141479493</x:v>
      </x:c>
      <x:c r="D92" s="44" t="n">
        <x:v>10000</x:v>
      </x:c>
      <x:c r="E92" s="47" t="n">
        <x:v>21.532284144312143</x:v>
      </x:c>
      <x:c r="F92" s="47" t="n">
        <x:v>0.18128827586770058</x:v>
      </x:c>
      <x:c r="G92" s="48" t="n">
        <x:v>14155776</x:v>
      </x:c>
      <x:c r="H92" s="48" t="n">
        <x:v>0</x:v>
      </x:c>
      <x:c r="I92" s="48" t="n">
        <x:v>31721</x:v>
      </x:c>
    </x:row>
    <x:row r="93">
      <x:c r="A93" s="44" t="n">
        <x:v>10091</x:v>
      </x:c>
      <x:c r="B93" s="45" t="n">
        <x:v>65.54</x:v>
      </x:c>
      <x:c r="C93" s="46" t="n">
        <x:v>1.582109312438965</x:v>
      </x:c>
      <x:c r="D93" s="44" t="n">
        <x:v>10000</x:v>
      </x:c>
      <x:c r="E93" s="47" t="n">
        <x:v>21.56007121875882</x:v>
      </x:c>
      <x:c r="F93" s="47" t="n">
        <x:v>0.1685425341129303</x:v>
      </x:c>
      <x:c r="G93" s="48" t="n">
        <x:v>14155776</x:v>
      </x:c>
      <x:c r="H93" s="48" t="n">
        <x:v>0</x:v>
      </x:c>
      <x:c r="I93" s="48" t="n">
        <x:v>31725</x:v>
      </x:c>
    </x:row>
    <x:row r="94">
      <x:c r="A94" s="44" t="n">
        <x:v>10092</x:v>
      </x:c>
      <x:c r="B94" s="45" t="n">
        <x:v>66.19</x:v>
      </x:c>
      <x:c r="C94" s="46" t="n">
        <x:v>1.5345971313476563</x:v>
      </x:c>
      <x:c r="D94" s="44" t="n">
        <x:v>10000</x:v>
      </x:c>
      <x:c r="E94" s="47" t="n">
        <x:v>21.528928861021996</x:v>
      </x:c>
      <x:c r="F94" s="47" t="n">
        <x:v>0.14228107035160065</x:v>
      </x:c>
      <x:c r="G94" s="48" t="n">
        <x:v>14155776</x:v>
      </x:c>
      <x:c r="H94" s="48" t="n">
        <x:v>0</x:v>
      </x:c>
      <x:c r="I94" s="48" t="n">
        <x:v>31702</x:v>
      </x:c>
    </x:row>
    <x:row r="95">
      <x:c r="A95" s="44" t="n">
        <x:v>10093</x:v>
      </x:c>
      <x:c r="B95" s="45" t="n">
        <x:v>67.92</x:v>
      </x:c>
      <x:c r="C95" s="46" t="n">
        <x:v>1.4665727447509767</x:v>
      </x:c>
      <x:c r="D95" s="44" t="n">
        <x:v>10000</x:v>
      </x:c>
      <x:c r="E95" s="47" t="n">
        <x:v>21.547158781439066</x:v>
      </x:c>
      <x:c r="F95" s="47" t="n">
        <x:v>0.12713629007339478</x:v>
      </x:c>
      <x:c r="G95" s="48" t="n">
        <x:v>14155776</x:v>
      </x:c>
      <x:c r="H95" s="48" t="n">
        <x:v>0</x:v>
      </x:c>
      <x:c r="I95" s="48" t="n">
        <x:v>31749</x:v>
      </x:c>
    </x:row>
    <x:row r="96">
      <x:c r="A96" s="44" t="n">
        <x:v>10094</x:v>
      </x:c>
      <x:c r="B96" s="45" t="n">
        <x:v>67</x:v>
      </x:c>
      <x:c r="C96" s="46" t="n">
        <x:v>1.5270163436889648</x:v>
      </x:c>
      <x:c r="D96" s="44" t="n">
        <x:v>10000</x:v>
      </x:c>
      <x:c r="E96" s="47" t="n">
        <x:v>21.518578946590424</x:v>
      </x:c>
      <x:c r="F96" s="47" t="n">
        <x:v>0.1548459678888321</x:v>
      </x:c>
      <x:c r="G96" s="48" t="n">
        <x:v>14155776</x:v>
      </x:c>
      <x:c r="H96" s="48" t="n">
        <x:v>0</x:v>
      </x:c>
      <x:c r="I96" s="48" t="n">
        <x:v>31733</x:v>
      </x:c>
    </x:row>
    <x:row r="97">
      <x:c r="A97" s="44" t="n">
        <x:v>10095</x:v>
      </x:c>
      <x:c r="B97" s="45" t="n">
        <x:v>60.84</x:v>
      </x:c>
      <x:c r="C97" s="46" t="n">
        <x:v>1.8066187911987304</x:v>
      </x:c>
      <x:c r="D97" s="44" t="n">
        <x:v>10000</x:v>
      </x:c>
      <x:c r="E97" s="47" t="n">
        <x:v>21.505403392016888</x:v>
      </x:c>
      <x:c r="F97" s="47" t="n">
        <x:v>0.12440412119030952</x:v>
      </x:c>
      <x:c r="G97" s="48" t="n">
        <x:v>14155776</x:v>
      </x:c>
      <x:c r="H97" s="48" t="n">
        <x:v>0</x:v>
      </x:c>
      <x:c r="I97" s="48" t="n">
        <x:v>31719</x:v>
      </x:c>
    </x:row>
    <x:row r="98">
      <x:c r="A98" s="44" t="n">
        <x:v>10096</x:v>
      </x:c>
      <x:c r="B98" s="45" t="n">
        <x:v>64.31</x:v>
      </x:c>
      <x:c r="C98" s="46" t="n">
        <x:v>1.6134759170532227</x:v>
      </x:c>
      <x:c r="D98" s="44" t="n">
        <x:v>10000</x:v>
      </x:c>
      <x:c r="E98" s="47" t="n">
        <x:v>21.50055306777358</x:v>
      </x:c>
      <x:c r="F98" s="47" t="n">
        <x:v>0.15173880383372307</x:v>
      </x:c>
      <x:c r="G98" s="48" t="n">
        <x:v>14155776</x:v>
      </x:c>
      <x:c r="H98" s="48" t="n">
        <x:v>0</x:v>
      </x:c>
      <x:c r="I98" s="48" t="n">
        <x:v>31713</x:v>
      </x:c>
    </x:row>
    <x:row r="99">
      <x:c r="A99" s="44" t="n">
        <x:v>10097</x:v>
      </x:c>
      <x:c r="B99" s="45" t="n">
        <x:v>65.71</x:v>
      </x:c>
      <x:c r="C99" s="46" t="n">
        <x:v>1.5847447967529298</x:v>
      </x:c>
      <x:c r="D99" s="44" t="n">
        <x:v>10000</x:v>
      </x:c>
      <x:c r="E99" s="47" t="n">
        <x:v>21.5646644346416</x:v>
      </x:c>
      <x:c r="F99" s="47" t="n">
        <x:v>0.16215906292200089</x:v>
      </x:c>
      <x:c r="G99" s="48" t="n">
        <x:v>14155776</x:v>
      </x:c>
      <x:c r="H99" s="48" t="n">
        <x:v>0</x:v>
      </x:c>
      <x:c r="I99" s="48" t="n">
        <x:v>31716</x:v>
      </x:c>
    </x:row>
    <x:row r="100">
      <x:c r="A100" s="44" t="n">
        <x:v>10098</x:v>
      </x:c>
      <x:c r="B100" s="45" t="n">
        <x:v>65.76</x:v>
      </x:c>
      <x:c r="C100" s="46" t="n">
        <x:v>1.5561711013793946</x:v>
      </x:c>
      <x:c r="D100" s="44" t="n">
        <x:v>10000</x:v>
      </x:c>
      <x:c r="E100" s="47" t="n">
        <x:v>21.617090810090303</x:v>
      </x:c>
      <x:c r="F100" s="47" t="n">
        <x:v>0.0821850560605526</x:v>
      </x:c>
      <x:c r="G100" s="48" t="n">
        <x:v>14155776</x:v>
      </x:c>
      <x:c r="H100" s="48" t="n">
        <x:v>0</x:v>
      </x:c>
      <x:c r="I100" s="48" t="n">
        <x:v>31702</x:v>
      </x:c>
    </x:row>
    <x:row r="101">
      <x:c r="A101" s="44" t="n">
        <x:v>10099</x:v>
      </x:c>
      <x:c r="B101" s="45" t="n">
        <x:v>65.04</x:v>
      </x:c>
      <x:c r="C101" s="46" t="n">
        <x:v>1.567864764404297</x:v>
      </x:c>
      <x:c r="D101" s="44" t="n">
        <x:v>10000</x:v>
      </x:c>
      <x:c r="E101" s="47" t="n">
        <x:v>21.539757411926985</x:v>
      </x:c>
      <x:c r="F101" s="47" t="n">
        <x:v>0.12932856380939484</x:v>
      </x:c>
      <x:c r="G101" s="48" t="n">
        <x:v>14155776</x:v>
      </x:c>
      <x:c r="H101" s="48" t="n">
        <x:v>0</x:v>
      </x:c>
      <x:c r="I101" s="48" t="n">
        <x:v>31697</x:v>
      </x:c>
    </x:row>
    <x:row r="102">
      <x:c r="A102" s="44" t="n">
        <x:v>10100</x:v>
      </x:c>
      <x:c r="B102" s="45" t="n">
        <x:v>66.69</x:v>
      </x:c>
      <x:c r="C102" s="46" t="n">
        <x:v>1.5389597442626952</x:v>
      </x:c>
      <x:c r="D102" s="44" t="n">
        <x:v>10000</x:v>
      </x:c>
      <x:c r="E102" s="47" t="n">
        <x:v>21.59044085070491</x:v>
      </x:c>
      <x:c r="F102" s="47" t="n">
        <x:v>0.15003562346100807</x:v>
      </x:c>
      <x:c r="G102" s="48" t="n">
        <x:v>14155776</x:v>
      </x:c>
      <x:c r="H102" s="48" t="n">
        <x:v>0</x:v>
      </x:c>
      <x:c r="I102" s="48" t="n">
        <x:v>31715</x:v>
      </x:c>
    </x:row>
    <x:row r="103">
      <x:c r="A103" s="44" t="n">
        <x:v>10101</x:v>
      </x:c>
      <x:c r="B103" s="45" t="n">
        <x:v>65.37</x:v>
      </x:c>
      <x:c r="C103" s="46" t="n">
        <x:v>1.5724822265625</x:v>
      </x:c>
      <x:c r="D103" s="44" t="n">
        <x:v>10000</x:v>
      </x:c>
      <x:c r="E103" s="47" t="n">
        <x:v>21.598392333835363</x:v>
      </x:c>
      <x:c r="F103" s="47" t="n">
        <x:v>0.31497707962989807</x:v>
      </x:c>
      <x:c r="G103" s="48" t="n">
        <x:v>14155776</x:v>
      </x:c>
      <x:c r="H103" s="48" t="n">
        <x:v>0</x:v>
      </x:c>
      <x:c r="I103" s="48" t="n">
        <x:v>31716</x:v>
      </x:c>
    </x:row>
    <x:row r="104">
      <x:c r="A104" s="44" t="n">
        <x:v>10102</x:v>
      </x:c>
      <x:c r="B104" s="45" t="n">
        <x:v>66.93</x:v>
      </x:c>
      <x:c r="C104" s="46" t="n">
        <x:v>1.5106311386108398</x:v>
      </x:c>
      <x:c r="D104" s="44" t="n">
        <x:v>10000</x:v>
      </x:c>
      <x:c r="E104" s="47" t="n">
        <x:v>21.528211034834385</x:v>
      </x:c>
      <x:c r="F104" s="47" t="n">
        <x:v>0.1769290268421173</x:v>
      </x:c>
      <x:c r="G104" s="48" t="n">
        <x:v>14155776</x:v>
      </x:c>
      <x:c r="H104" s="48" t="n">
        <x:v>0</x:v>
      </x:c>
      <x:c r="I104" s="48" t="n">
        <x:v>31713</x:v>
      </x:c>
    </x:row>
    <x:row r="105">
      <x:c r="A105" s="44" t="n">
        <x:v>10103</x:v>
      </x:c>
      <x:c r="B105" s="45" t="n">
        <x:v>64.91</x:v>
      </x:c>
      <x:c r="C105" s="46" t="n">
        <x:v>1.593377310180664</x:v>
      </x:c>
      <x:c r="D105" s="44" t="n">
        <x:v>10000</x:v>
      </x:c>
      <x:c r="E105" s="47" t="n">
        <x:v>21.54502734914422</x:v>
      </x:c>
      <x:c r="F105" s="47" t="n">
        <x:v>0.18010817095637321</x:v>
      </x:c>
      <x:c r="G105" s="48" t="n">
        <x:v>14155776</x:v>
      </x:c>
      <x:c r="H105" s="48" t="n">
        <x:v>0</x:v>
      </x:c>
      <x:c r="I105" s="48" t="n">
        <x:v>31714</x:v>
      </x:c>
    </x:row>
    <x:row r="106">
      <x:c r="A106" s="44" t="n">
        <x:v>10104</x:v>
      </x:c>
      <x:c r="B106" s="45" t="n">
        <x:v>65.84</x:v>
      </x:c>
      <x:c r="C106" s="46" t="n">
        <x:v>1.5976915542602539</x:v>
      </x:c>
      <x:c r="D106" s="44" t="n">
        <x:v>10000</x:v>
      </x:c>
      <x:c r="E106" s="47" t="n">
        <x:v>21.50624443590641</x:v>
      </x:c>
      <x:c r="F106" s="47" t="n">
        <x:v>0.14256912097334862</x:v>
      </x:c>
      <x:c r="G106" s="48" t="n">
        <x:v>14155776</x:v>
      </x:c>
      <x:c r="H106" s="48" t="n">
        <x:v>0</x:v>
      </x:c>
      <x:c r="I106" s="48" t="n">
        <x:v>31725</x:v>
      </x:c>
    </x:row>
    <x:row r="107">
      <x:c r="A107" s="44" t="n">
        <x:v>10105</x:v>
      </x:c>
      <x:c r="B107" s="45" t="n">
        <x:v>67.71</x:v>
      </x:c>
      <x:c r="C107" s="46" t="n">
        <x:v>1.4665566192626953</x:v>
      </x:c>
      <x:c r="D107" s="44" t="n">
        <x:v>10000</x:v>
      </x:c>
      <x:c r="E107" s="47" t="n">
        <x:v>21.58647207915783</x:v>
      </x:c>
      <x:c r="F107" s="47" t="n">
        <x:v>0.14054157584905624</x:v>
      </x:c>
      <x:c r="G107" s="48" t="n">
        <x:v>14155776</x:v>
      </x:c>
      <x:c r="H107" s="48" t="n">
        <x:v>0</x:v>
      </x:c>
      <x:c r="I107" s="48" t="n">
        <x:v>31713</x:v>
      </x:c>
    </x:row>
    <x:row r="108">
      <x:c r="A108" s="44" t="n">
        <x:v>10106</x:v>
      </x:c>
      <x:c r="B108" s="45" t="n">
        <x:v>65.11</x:v>
      </x:c>
      <x:c r="C108" s="46" t="n">
        <x:v>1.5970420059204102</x:v>
      </x:c>
      <x:c r="D108" s="44" t="n">
        <x:v>10000</x:v>
      </x:c>
      <x:c r="E108" s="47" t="n">
        <x:v>21.54106856137514</x:v>
      </x:c>
      <x:c r="F108" s="47" t="n">
        <x:v>0.16632569953799248</x:v>
      </x:c>
      <x:c r="G108" s="48" t="n">
        <x:v>14155776</x:v>
      </x:c>
      <x:c r="H108" s="48" t="n">
        <x:v>0</x:v>
      </x:c>
      <x:c r="I108" s="48" t="n">
        <x:v>31712</x:v>
      </x:c>
    </x:row>
    <x:row r="109">
      <x:c r="A109" s="44" t="n">
        <x:v>10107</x:v>
      </x:c>
      <x:c r="B109" s="45" t="n">
        <x:v>66.07</x:v>
      </x:c>
      <x:c r="C109" s="46" t="n">
        <x:v>1.5394543121337891</x:v>
      </x:c>
      <x:c r="D109" s="44" t="n">
        <x:v>10000</x:v>
      </x:c>
      <x:c r="E109" s="47" t="n">
        <x:v>21.53208263218403</x:v>
      </x:c>
      <x:c r="F109" s="47" t="n">
        <x:v>0.19467363506555557</x:v>
      </x:c>
      <x:c r="G109" s="48" t="n">
        <x:v>14155776</x:v>
      </x:c>
      <x:c r="H109" s="48" t="n">
        <x:v>0</x:v>
      </x:c>
      <x:c r="I109" s="48" t="n">
        <x:v>31708</x:v>
      </x:c>
    </x:row>
    <x:row r="110">
      <x:c r="A110" s="44" t="n">
        <x:v>10108</x:v>
      </x:c>
      <x:c r="B110" s="45" t="n">
        <x:v>65.14</x:v>
      </x:c>
      <x:c r="C110" s="46" t="n">
        <x:v>1.559655438232422</x:v>
      </x:c>
      <x:c r="D110" s="44" t="n">
        <x:v>10000</x:v>
      </x:c>
      <x:c r="E110" s="47" t="n">
        <x:v>21.555024810135365</x:v>
      </x:c>
      <x:c r="F110" s="47" t="n">
        <x:v>0.13393612205982208</x:v>
      </x:c>
      <x:c r="G110" s="48" t="n">
        <x:v>14155776</x:v>
      </x:c>
      <x:c r="H110" s="48" t="n">
        <x:v>0</x:v>
      </x:c>
      <x:c r="I110" s="48" t="n">
        <x:v>31712</x:v>
      </x:c>
    </x:row>
    <x:row r="111">
      <x:c r="A111" s="44" t="n">
        <x:v>10109</x:v>
      </x:c>
      <x:c r="B111" s="45" t="n">
        <x:v>66.31</x:v>
      </x:c>
      <x:c r="C111" s="46" t="n">
        <x:v>1.5398213150024413</x:v>
      </x:c>
      <x:c r="D111" s="44" t="n">
        <x:v>10000</x:v>
      </x:c>
      <x:c r="E111" s="47" t="n">
        <x:v>21.647296767681837</x:v>
      </x:c>
      <x:c r="F111" s="47" t="n">
        <x:v>0.14767443761229515</x:v>
      </x:c>
      <x:c r="G111" s="48" t="n">
        <x:v>14155776</x:v>
      </x:c>
      <x:c r="H111" s="48" t="n">
        <x:v>0</x:v>
      </x:c>
      <x:c r="I111" s="48" t="n">
        <x:v>31725</x:v>
      </x:c>
    </x:row>
    <x:row r="112">
      <x:c r="A112" s="44" t="n">
        <x:v>10110</x:v>
      </x:c>
      <x:c r="B112" s="45" t="n">
        <x:v>64.97</x:v>
      </x:c>
      <x:c r="C112" s="46" t="n">
        <x:v>1.5828600341796875</x:v>
      </x:c>
      <x:c r="D112" s="44" t="n">
        <x:v>10000</x:v>
      </x:c>
      <x:c r="E112" s="47" t="n">
        <x:v>21.500891845673323</x:v>
      </x:c>
      <x:c r="F112" s="47" t="n">
        <x:v>0.12494271248579025</x:v>
      </x:c>
      <x:c r="G112" s="48" t="n">
        <x:v>14155776</x:v>
      </x:c>
      <x:c r="H112" s="48" t="n">
        <x:v>0</x:v>
      </x:c>
      <x:c r="I112" s="48" t="n">
        <x:v>31705</x:v>
      </x:c>
    </x:row>
    <x:row r="113">
      <x:c r="A113" s="44" t="n">
        <x:v>10111</x:v>
      </x:c>
      <x:c r="B113" s="45" t="n">
        <x:v>66.06</x:v>
      </x:c>
      <x:c r="C113" s="46" t="n">
        <x:v>1.5765542541503905</x:v>
      </x:c>
      <x:c r="D113" s="44" t="n">
        <x:v>10000</x:v>
      </x:c>
      <x:c r="E113" s="47" t="n">
        <x:v>21.578260648995638</x:v>
      </x:c>
      <x:c r="F113" s="47" t="n">
        <x:v>0.1299796998500824</x:v>
      </x:c>
      <x:c r="G113" s="48" t="n">
        <x:v>14155776</x:v>
      </x:c>
      <x:c r="H113" s="48" t="n">
        <x:v>0</x:v>
      </x:c>
      <x:c r="I113" s="48" t="n">
        <x:v>31720</x:v>
      </x:c>
    </x:row>
    <x:row r="114">
      <x:c r="A114" s="44" t="n">
        <x:v>10112</x:v>
      </x:c>
      <x:c r="B114" s="45" t="n">
        <x:v>66.25</x:v>
      </x:c>
      <x:c r="C114" s="46" t="n">
        <x:v>1.5251780151367187</x:v>
      </x:c>
      <x:c r="D114" s="44" t="n">
        <x:v>10000</x:v>
      </x:c>
      <x:c r="E114" s="47" t="n">
        <x:v>21.5791627317667</x:v>
      </x:c>
      <x:c r="F114" s="47" t="n">
        <x:v>0.09164124354720116</x:v>
      </x:c>
      <x:c r="G114" s="48" t="n">
        <x:v>14155776</x:v>
      </x:c>
      <x:c r="H114" s="48" t="n">
        <x:v>0</x:v>
      </x:c>
      <x:c r="I114" s="48" t="n">
        <x:v>31732</x:v>
      </x:c>
    </x:row>
    <x:row r="115">
      <x:c r="A115" s="44" t="n">
        <x:v>10113</x:v>
      </x:c>
      <x:c r="B115" s="45" t="n">
        <x:v>67.72</x:v>
      </x:c>
      <x:c r="C115" s="46" t="n">
        <x:v>1.4839558898925782</x:v>
      </x:c>
      <x:c r="D115" s="44" t="n">
        <x:v>10000</x:v>
      </x:c>
      <x:c r="E115" s="47" t="n">
        <x:v>21.551573574543</x:v>
      </x:c>
      <x:c r="F115" s="47" t="n">
        <x:v>0.18711046501994133</x:v>
      </x:c>
      <x:c r="G115" s="48" t="n">
        <x:v>14155776</x:v>
      </x:c>
      <x:c r="H115" s="48" t="n">
        <x:v>0</x:v>
      </x:c>
      <x:c r="I115" s="48" t="n">
        <x:v>31701</x:v>
      </x:c>
    </x:row>
    <x:row r="116">
      <x:c r="A116" s="44" t="n">
        <x:v>10114</x:v>
      </x:c>
      <x:c r="B116" s="45" t="n">
        <x:v>67.45</x:v>
      </x:c>
      <x:c r="C116" s="46" t="n">
        <x:v>1.4990448013305664</x:v>
      </x:c>
      <x:c r="D116" s="44" t="n">
        <x:v>10000</x:v>
      </x:c>
      <x:c r="E116" s="47" t="n">
        <x:v>21.543073792010546</x:v>
      </x:c>
      <x:c r="F116" s="47" t="n">
        <x:v>0.18744030222296715</x:v>
      </x:c>
      <x:c r="G116" s="48" t="n">
        <x:v>14155776</x:v>
      </x:c>
      <x:c r="H116" s="48" t="n">
        <x:v>0</x:v>
      </x:c>
      <x:c r="I116" s="48" t="n">
        <x:v>31692</x:v>
      </x:c>
    </x:row>
    <x:row r="117">
      <x:c r="A117" s="44" t="n">
        <x:v>10115</x:v>
      </x:c>
      <x:c r="B117" s="45" t="n">
        <x:v>66.56</x:v>
      </x:c>
      <x:c r="C117" s="46" t="n">
        <x:v>1.5366843322753907</x:v>
      </x:c>
      <x:c r="D117" s="44" t="n">
        <x:v>10000</x:v>
      </x:c>
      <x:c r="E117" s="47" t="n">
        <x:v>21.548829413950443</x:v>
      </x:c>
      <x:c r="F117" s="47" t="n">
        <x:v>0.13911481574177742</x:v>
      </x:c>
      <x:c r="G117" s="48" t="n">
        <x:v>14155776</x:v>
      </x:c>
      <x:c r="H117" s="48" t="n">
        <x:v>0</x:v>
      </x:c>
      <x:c r="I117" s="48" t="n">
        <x:v>31710</x:v>
      </x:c>
    </x:row>
    <x:row r="118">
      <x:c r="A118" s="44" t="n">
        <x:v>10116</x:v>
      </x:c>
      <x:c r="B118" s="45" t="n">
        <x:v>67.29</x:v>
      </x:c>
      <x:c r="C118" s="46" t="n">
        <x:v>1.4936233322143555</x:v>
      </x:c>
      <x:c r="D118" s="44" t="n">
        <x:v>10000</x:v>
      </x:c>
      <x:c r="E118" s="47" t="n">
        <x:v>21.542012441903353</x:v>
      </x:c>
      <x:c r="F118" s="47" t="n">
        <x:v>0.14179376140236855</x:v>
      </x:c>
      <x:c r="G118" s="48" t="n">
        <x:v>14155776</x:v>
      </x:c>
      <x:c r="H118" s="48" t="n">
        <x:v>0</x:v>
      </x:c>
      <x:c r="I118" s="48" t="n">
        <x:v>31719</x:v>
      </x:c>
    </x:row>
    <x:row r="119">
      <x:c r="A119" s="44" t="n">
        <x:v>10117</x:v>
      </x:c>
      <x:c r="B119" s="45" t="n">
        <x:v>67.52</x:v>
      </x:c>
      <x:c r="C119" s="46" t="n">
        <x:v>1.4833640197753906</x:v>
      </x:c>
      <x:c r="D119" s="44" t="n">
        <x:v>10000</x:v>
      </x:c>
      <x:c r="E119" s="47" t="n">
        <x:v>21.563206382095814</x:v>
      </x:c>
      <x:c r="F119" s="47" t="n">
        <x:v>0.12461620196700096</x:v>
      </x:c>
      <x:c r="G119" s="48" t="n">
        <x:v>14155776</x:v>
      </x:c>
      <x:c r="H119" s="48" t="n">
        <x:v>0</x:v>
      </x:c>
      <x:c r="I119" s="48" t="n">
        <x:v>31690</x:v>
      </x:c>
    </x:row>
    <x:row r="120">
      <x:c r="A120" s="44" t="n">
        <x:v>10118</x:v>
      </x:c>
      <x:c r="B120" s="45" t="n">
        <x:v>66.85</x:v>
      </x:c>
      <x:c r="C120" s="46" t="n">
        <x:v>1.522371990966797</x:v>
      </x:c>
      <x:c r="D120" s="44" t="n">
        <x:v>10000</x:v>
      </x:c>
      <x:c r="E120" s="47" t="n">
        <x:v>21.569641634821892</x:v>
      </x:c>
      <x:c r="F120" s="47" t="n">
        <x:v>0.13552386686205864</x:v>
      </x:c>
      <x:c r="G120" s="48" t="n">
        <x:v>14155776</x:v>
      </x:c>
      <x:c r="H120" s="48" t="n">
        <x:v>0</x:v>
      </x:c>
      <x:c r="I120" s="48" t="n">
        <x:v>31722</x:v>
      </x:c>
    </x:row>
    <x:row r="121">
      <x:c r="A121" s="44" t="n">
        <x:v>10119</x:v>
      </x:c>
      <x:c r="B121" s="45" t="n">
        <x:v>66.66</x:v>
      </x:c>
      <x:c r="C121" s="46" t="n">
        <x:v>1.4862292617797852</x:v>
      </x:c>
      <x:c r="D121" s="44" t="n">
        <x:v>10000</x:v>
      </x:c>
      <x:c r="E121" s="47" t="n">
        <x:v>21.566610101610422</x:v>
      </x:c>
      <x:c r="F121" s="47" t="n">
        <x:v>0.19487010687589645</x:v>
      </x:c>
      <x:c r="G121" s="48" t="n">
        <x:v>14155776</x:v>
      </x:c>
      <x:c r="H121" s="48" t="n">
        <x:v>0</x:v>
      </x:c>
      <x:c r="I121" s="48" t="n">
        <x:v>31715</x:v>
      </x:c>
    </x:row>
    <x:row r="122">
      <x:c r="A122" s="44" t="n">
        <x:v>10120</x:v>
      </x:c>
      <x:c r="B122" s="45" t="n">
        <x:v>66.69</x:v>
      </x:c>
      <x:c r="C122" s="46" t="n">
        <x:v>1.5060819885253907</x:v>
      </x:c>
      <x:c r="D122" s="44" t="n">
        <x:v>10000</x:v>
      </x:c>
      <x:c r="E122" s="47" t="n">
        <x:v>21.518503416329622</x:v>
      </x:c>
      <x:c r="F122" s="47" t="n">
        <x:v>0.17645971849560738</x:v>
      </x:c>
      <x:c r="G122" s="48" t="n">
        <x:v>14155776</x:v>
      </x:c>
      <x:c r="H122" s="48" t="n">
        <x:v>0</x:v>
      </x:c>
      <x:c r="I122" s="48" t="n">
        <x:v>31722</x:v>
      </x:c>
    </x:row>
    <x:row r="123">
      <x:c r="A123" s="44" t="n">
        <x:v>10121</x:v>
      </x:c>
      <x:c r="B123" s="45" t="n">
        <x:v>67.95</x:v>
      </x:c>
      <x:c r="C123" s="46" t="n">
        <x:v>1.4549481399536133</x:v>
      </x:c>
      <x:c r="D123" s="44" t="n">
        <x:v>10000</x:v>
      </x:c>
      <x:c r="E123" s="47" t="n">
        <x:v>21.46292072162032</x:v>
      </x:c>
      <x:c r="F123" s="47" t="n">
        <x:v>0.130491741001606</x:v>
      </x:c>
      <x:c r="G123" s="48" t="n">
        <x:v>14155776</x:v>
      </x:c>
      <x:c r="H123" s="48" t="n">
        <x:v>0</x:v>
      </x:c>
      <x:c r="I123" s="48" t="n">
        <x:v>31721</x:v>
      </x:c>
    </x:row>
    <x:row r="124">
      <x:c r="A124" s="44" t="n">
        <x:v>10122</x:v>
      </x:c>
      <x:c r="B124" s="45" t="n">
        <x:v>66.36</x:v>
      </x:c>
      <x:c r="C124" s="46" t="n">
        <x:v>1.5454497192382812</x:v>
      </x:c>
      <x:c r="D124" s="44" t="n">
        <x:v>10000</x:v>
      </x:c>
      <x:c r="E124" s="47" t="n">
        <x:v>21.425453387200832</x:v>
      </x:c>
      <x:c r="F124" s="47" t="n">
        <x:v>0.16907141357660294</x:v>
      </x:c>
      <x:c r="G124" s="48" t="n">
        <x:v>14155776</x:v>
      </x:c>
      <x:c r="H124" s="48" t="n">
        <x:v>0</x:v>
      </x:c>
      <x:c r="I124" s="48" t="n">
        <x:v>31723</x:v>
      </x:c>
    </x:row>
    <x:row r="125">
      <x:c r="A125" s="44" t="n">
        <x:v>10123</x:v>
      </x:c>
      <x:c r="B125" s="45" t="n">
        <x:v>65.68</x:v>
      </x:c>
      <x:c r="C125" s="46" t="n">
        <x:v>1.5397964294433595</x:v>
      </x:c>
      <x:c r="D125" s="44" t="n">
        <x:v>10000</x:v>
      </x:c>
      <x:c r="E125" s="47" t="n">
        <x:v>21.44580117240548</x:v>
      </x:c>
      <x:c r="F125" s="47" t="n">
        <x:v>0.19467442110180855</x:v>
      </x:c>
      <x:c r="G125" s="48" t="n">
        <x:v>14155776</x:v>
      </x:c>
      <x:c r="H125" s="48" t="n">
        <x:v>0</x:v>
      </x:c>
      <x:c r="I125" s="48" t="n">
        <x:v>31706</x:v>
      </x:c>
    </x:row>
    <x:row r="126">
      <x:c r="A126" s="44" t="n">
        <x:v>10124</x:v>
      </x:c>
      <x:c r="B126" s="45" t="n">
        <x:v>66.57</x:v>
      </x:c>
      <x:c r="C126" s="46" t="n">
        <x:v>1.5457936157226562</x:v>
      </x:c>
      <x:c r="D126" s="44" t="n">
        <x:v>10000</x:v>
      </x:c>
      <x:c r="E126" s="47" t="n">
        <x:v>21.50020059943199</x:v>
      </x:c>
      <x:c r="F126" s="47" t="n">
        <x:v>0.13823391869664192</x:v>
      </x:c>
      <x:c r="G126" s="48" t="n">
        <x:v>14155776</x:v>
      </x:c>
      <x:c r="H126" s="48" t="n">
        <x:v>0</x:v>
      </x:c>
      <x:c r="I126" s="48" t="n">
        <x:v>31708</x:v>
      </x:c>
    </x:row>
    <x:row r="127">
      <x:c r="A127" s="44" t="n">
        <x:v>10125</x:v>
      </x:c>
      <x:c r="B127" s="45" t="n">
        <x:v>65.66</x:v>
      </x:c>
      <x:c r="C127" s="46" t="n">
        <x:v>1.5699014511108398</x:v>
      </x:c>
      <x:c r="D127" s="44" t="n">
        <x:v>10000</x:v>
      </x:c>
      <x:c r="E127" s="47" t="n">
        <x:v>21.467589806765318</x:v>
      </x:c>
      <x:c r="F127" s="47" t="n">
        <x:v>0.1418076455593109</x:v>
      </x:c>
      <x:c r="G127" s="48" t="n">
        <x:v>14155776</x:v>
      </x:c>
      <x:c r="H127" s="48" t="n">
        <x:v>0</x:v>
      </x:c>
      <x:c r="I127" s="48" t="n">
        <x:v>31692</x:v>
      </x:c>
    </x:row>
    <x:row r="128">
      <x:c r="A128" s="44" t="n">
        <x:v>10126</x:v>
      </x:c>
      <x:c r="B128" s="45" t="n">
        <x:v>66.76</x:v>
      </x:c>
      <x:c r="C128" s="46" t="n">
        <x:v>1.5262051345825196</x:v>
      </x:c>
      <x:c r="D128" s="44" t="n">
        <x:v>10000</x:v>
      </x:c>
      <x:c r="E128" s="47" t="n">
        <x:v>21.5217895694077</x:v>
      </x:c>
      <x:c r="F128" s="47" t="n">
        <x:v>0.17412082478404045</x:v>
      </x:c>
      <x:c r="G128" s="48" t="n">
        <x:v>14155776</x:v>
      </x:c>
      <x:c r="H128" s="48" t="n">
        <x:v>0</x:v>
      </x:c>
      <x:c r="I128" s="48" t="n">
        <x:v>31724</x:v>
      </x:c>
    </x:row>
    <x:row r="129">
      <x:c r="A129" s="44" t="n">
        <x:v>10127</x:v>
      </x:c>
      <x:c r="B129" s="45" t="n">
        <x:v>66.38</x:v>
      </x:c>
      <x:c r="C129" s="46" t="n">
        <x:v>1.5375175415039062</x:v>
      </x:c>
      <x:c r="D129" s="44" t="n">
        <x:v>10000</x:v>
      </x:c>
      <x:c r="E129" s="47" t="n">
        <x:v>21.609885971993208</x:v>
      </x:c>
      <x:c r="F129" s="47" t="n">
        <x:v>0.19900614395737648</x:v>
      </x:c>
      <x:c r="G129" s="48" t="n">
        <x:v>14155776</x:v>
      </x:c>
      <x:c r="H129" s="48" t="n">
        <x:v>0</x:v>
      </x:c>
      <x:c r="I129" s="48" t="n">
        <x:v>31707</x:v>
      </x:c>
    </x:row>
    <x:row r="130">
      <x:c r="A130" s="44" t="n">
        <x:v>10128</x:v>
      </x:c>
      <x:c r="B130" s="45" t="n">
        <x:v>66.9</x:v>
      </x:c>
      <x:c r="C130" s="46" t="n">
        <x:v>1.4933353256225586</x:v>
      </x:c>
      <x:c r="D130" s="44" t="n">
        <x:v>10000</x:v>
      </x:c>
      <x:c r="E130" s="47" t="n">
        <x:v>21.597911786288023</x:v>
      </x:c>
      <x:c r="F130" s="47" t="n">
        <x:v>0.15845955163240433</x:v>
      </x:c>
      <x:c r="G130" s="48" t="n">
        <x:v>14155776</x:v>
      </x:c>
      <x:c r="H130" s="48" t="n">
        <x:v>0</x:v>
      </x:c>
      <x:c r="I130" s="48" t="n">
        <x:v>31717</x:v>
      </x:c>
    </x:row>
    <x:row r="131">
      <x:c r="A131" s="44" t="n">
        <x:v>10129</x:v>
      </x:c>
      <x:c r="B131" s="45" t="n">
        <x:v>66.24</x:v>
      </x:c>
      <x:c r="C131" s="46" t="n">
        <x:v>1.5095179077148437</x:v>
      </x:c>
      <x:c r="D131" s="44" t="n">
        <x:v>10000</x:v>
      </x:c>
      <x:c r="E131" s="47" t="n">
        <x:v>21.502528429031372</x:v>
      </x:c>
      <x:c r="F131" s="47" t="n">
        <x:v>0.161674115806818</x:v>
      </x:c>
      <x:c r="G131" s="48" t="n">
        <x:v>14155776</x:v>
      </x:c>
      <x:c r="H131" s="48" t="n">
        <x:v>0</x:v>
      </x:c>
      <x:c r="I131" s="48" t="n">
        <x:v>31728</x:v>
      </x:c>
    </x:row>
    <x:row r="132">
      <x:c r="A132" s="44" t="n">
        <x:v>10130</x:v>
      </x:c>
      <x:c r="B132" s="45" t="n">
        <x:v>66.17</x:v>
      </x:c>
      <x:c r="C132" s="46" t="n">
        <x:v>1.5120390899658203</x:v>
      </x:c>
      <x:c r="D132" s="44" t="n">
        <x:v>10000</x:v>
      </x:c>
      <x:c r="E132" s="47" t="n">
        <x:v>21.53663258999586</x:v>
      </x:c>
      <x:c r="F132" s="47" t="n">
        <x:v>0.16502590477466583</x:v>
      </x:c>
      <x:c r="G132" s="48" t="n">
        <x:v>14155776</x:v>
      </x:c>
      <x:c r="H132" s="48" t="n">
        <x:v>0</x:v>
      </x:c>
      <x:c r="I132" s="48" t="n">
        <x:v>31697</x:v>
      </x:c>
    </x:row>
    <x:row r="133">
      <x:c r="A133" s="44" t="n">
        <x:v>10131</x:v>
      </x:c>
      <x:c r="B133" s="45" t="n">
        <x:v>66.77</x:v>
      </x:c>
      <x:c r="C133" s="46" t="n">
        <x:v>1.4962100128173828</x:v>
      </x:c>
      <x:c r="D133" s="44" t="n">
        <x:v>10000</x:v>
      </x:c>
      <x:c r="E133" s="47" t="n">
        <x:v>21.49274143576622</x:v>
      </x:c>
      <x:c r="F133" s="47" t="n">
        <x:v>0.17567941173911095</x:v>
      </x:c>
      <x:c r="G133" s="48" t="n">
        <x:v>14155776</x:v>
      </x:c>
      <x:c r="H133" s="48" t="n">
        <x:v>0</x:v>
      </x:c>
      <x:c r="I133" s="48" t="n">
        <x:v>31711</x:v>
      </x:c>
    </x:row>
    <x:row r="134">
      <x:c r="A134" s="44" t="n">
        <x:v>10132</x:v>
      </x:c>
      <x:c r="B134" s="45" t="n">
        <x:v>65.94</x:v>
      </x:c>
      <x:c r="C134" s="46" t="n">
        <x:v>1.5500882720947267</x:v>
      </x:c>
      <x:c r="D134" s="44" t="n">
        <x:v>10000</x:v>
      </x:c>
      <x:c r="E134" s="47" t="n">
        <x:v>21.5145303606987</x:v>
      </x:c>
      <x:c r="F134" s="47" t="n">
        <x:v>0.15081022307276726</x:v>
      </x:c>
      <x:c r="G134" s="48" t="n">
        <x:v>14155776</x:v>
      </x:c>
      <x:c r="H134" s="48" t="n">
        <x:v>0</x:v>
      </x:c>
      <x:c r="I134" s="48" t="n">
        <x:v>31707</x:v>
      </x:c>
    </x:row>
    <x:row r="135">
      <x:c r="A135" s="44" t="n">
        <x:v>10133</x:v>
      </x:c>
      <x:c r="B135" s="45" t="n">
        <x:v>66.65</x:v>
      </x:c>
      <x:c r="C135" s="46" t="n">
        <x:v>1.491807893371582</x:v>
      </x:c>
      <x:c r="D135" s="44" t="n">
        <x:v>10000</x:v>
      </x:c>
      <x:c r="E135" s="47" t="n">
        <x:v>21.585324242711067</x:v>
      </x:c>
      <x:c r="F135" s="47" t="n">
        <x:v>0.17245647683739662</x:v>
      </x:c>
      <x:c r="G135" s="48" t="n">
        <x:v>14155776</x:v>
      </x:c>
      <x:c r="H135" s="48" t="n">
        <x:v>0</x:v>
      </x:c>
      <x:c r="I135" s="48" t="n">
        <x:v>31713</x:v>
      </x:c>
    </x:row>
    <x:row r="136">
      <x:c r="A136" s="44" t="n">
        <x:v>10134</x:v>
      </x:c>
      <x:c r="B136" s="45" t="n">
        <x:v>67.5</x:v>
      </x:c>
      <x:c r="C136" s="46" t="n">
        <x:v>1.524523553466797</x:v>
      </x:c>
      <x:c r="D136" s="44" t="n">
        <x:v>10000</x:v>
      </x:c>
      <x:c r="E136" s="47" t="n">
        <x:v>21.592379815876484</x:v>
      </x:c>
      <x:c r="F136" s="47" t="n">
        <x:v>0.1440596505999565</x:v>
      </x:c>
      <x:c r="G136" s="48" t="n">
        <x:v>14155776</x:v>
      </x:c>
      <x:c r="H136" s="48" t="n">
        <x:v>0</x:v>
      </x:c>
      <x:c r="I136" s="48" t="n">
        <x:v>31714</x:v>
      </x:c>
    </x:row>
    <x:row r="137">
      <x:c r="A137" s="44" t="n">
        <x:v>10135</x:v>
      </x:c>
      <x:c r="B137" s="45" t="n">
        <x:v>64.98</x:v>
      </x:c>
      <x:c r="C137" s="46" t="n">
        <x:v>1.5702760650634766</x:v>
      </x:c>
      <x:c r="D137" s="44" t="n">
        <x:v>10000</x:v>
      </x:c>
      <x:c r="E137" s="47" t="n">
        <x:v>21.56119340285659</x:v>
      </x:c>
      <x:c r="F137" s="47" t="n">
        <x:v>0.1893307827413082</x:v>
      </x:c>
      <x:c r="G137" s="48" t="n">
        <x:v>14155776</x:v>
      </x:c>
      <x:c r="H137" s="48" t="n">
        <x:v>0</x:v>
      </x:c>
      <x:c r="I137" s="48" t="n">
        <x:v>31696</x:v>
      </x:c>
    </x:row>
    <x:row r="138">
      <x:c r="A138" s="44" t="n">
        <x:v>10136</x:v>
      </x:c>
      <x:c r="B138" s="45" t="n">
        <x:v>67.82</x:v>
      </x:c>
      <x:c r="C138" s="46" t="n">
        <x:v>1.45322548828125</x:v>
      </x:c>
      <x:c r="D138" s="44" t="n">
        <x:v>10000</x:v>
      </x:c>
      <x:c r="E138" s="47" t="n">
        <x:v>21.45643274486065</x:v>
      </x:c>
      <x:c r="F138" s="47" t="n">
        <x:v>0.18194088712334633</x:v>
      </x:c>
      <x:c r="G138" s="48" t="n">
        <x:v>14155776</x:v>
      </x:c>
      <x:c r="H138" s="48" t="n">
        <x:v>0</x:v>
      </x:c>
      <x:c r="I138" s="48" t="n">
        <x:v>31735</x:v>
      </x:c>
    </x:row>
    <x:row r="139">
      <x:c r="A139" s="44" t="n">
        <x:v>10137</x:v>
      </x:c>
      <x:c r="B139" s="45" t="n">
        <x:v>66.47</x:v>
      </x:c>
      <x:c r="C139" s="46" t="n">
        <x:v>1.5297713333129883</x:v>
      </x:c>
      <x:c r="D139" s="44" t="n">
        <x:v>10000</x:v>
      </x:c>
      <x:c r="E139" s="47" t="n">
        <x:v>21.608072597533464</x:v>
      </x:c>
      <x:c r="F139" s="47" t="n">
        <x:v>0.12941282615065575</x:v>
      </x:c>
      <x:c r="G139" s="48" t="n">
        <x:v>14155776</x:v>
      </x:c>
      <x:c r="H139" s="48" t="n">
        <x:v>0</x:v>
      </x:c>
      <x:c r="I139" s="48" t="n">
        <x:v>31693</x:v>
      </x:c>
    </x:row>
    <x:row r="140">
      <x:c r="A140" s="44" t="n">
        <x:v>10138</x:v>
      </x:c>
      <x:c r="B140" s="45" t="n">
        <x:v>65.68</x:v>
      </x:c>
      <x:c r="C140" s="46" t="n">
        <x:v>1.5867114227294923</x:v>
      </x:c>
      <x:c r="D140" s="44" t="n">
        <x:v>10000</x:v>
      </x:c>
      <x:c r="E140" s="47" t="n">
        <x:v>21.51909066736698</x:v>
      </x:c>
      <x:c r="F140" s="47" t="n">
        <x:v>0.13749735802412033</x:v>
      </x:c>
      <x:c r="G140" s="48" t="n">
        <x:v>14155776</x:v>
      </x:c>
      <x:c r="H140" s="48" t="n">
        <x:v>0</x:v>
      </x:c>
      <x:c r="I140" s="48" t="n">
        <x:v>31690</x:v>
      </x:c>
    </x:row>
    <x:row r="141">
      <x:c r="A141" s="44" t="n">
        <x:v>10139</x:v>
      </x:c>
      <x:c r="B141" s="45" t="n">
        <x:v>67.35</x:v>
      </x:c>
      <x:c r="C141" s="46" t="n">
        <x:v>1.485974494934082</x:v>
      </x:c>
      <x:c r="D141" s="44" t="n">
        <x:v>10000</x:v>
      </x:c>
      <x:c r="E141" s="47" t="n">
        <x:v>21.590986985713243</x:v>
      </x:c>
      <x:c r="F141" s="47" t="n">
        <x:v>0.1532052531838417</x:v>
      </x:c>
      <x:c r="G141" s="48" t="n">
        <x:v>14155776</x:v>
      </x:c>
      <x:c r="H141" s="48" t="n">
        <x:v>0</x:v>
      </x:c>
      <x:c r="I141" s="48" t="n">
        <x:v>31692</x:v>
      </x:c>
    </x:row>
    <x:row r="142">
      <x:c r="A142" s="44" t="n">
        <x:v>10140</x:v>
      </x:c>
      <x:c r="B142" s="45" t="n">
        <x:v>65.02</x:v>
      </x:c>
      <x:c r="C142" s="46" t="n">
        <x:v>1.6422959350585937</x:v>
      </x:c>
      <x:c r="D142" s="44" t="n">
        <x:v>10000</x:v>
      </x:c>
      <x:c r="E142" s="47" t="n">
        <x:v>21.515731871128082</x:v>
      </x:c>
      <x:c r="F142" s="47" t="n">
        <x:v>0.14941254630684853</x:v>
      </x:c>
      <x:c r="G142" s="48" t="n">
        <x:v>14155776</x:v>
      </x:c>
      <x:c r="H142" s="48" t="n">
        <x:v>0</x:v>
      </x:c>
      <x:c r="I142" s="48" t="n">
        <x:v>31722</x:v>
      </x:c>
    </x:row>
    <x:row r="143">
      <x:c r="A143" s="44" t="n">
        <x:v>10141</x:v>
      </x:c>
      <x:c r="B143" s="45" t="n">
        <x:v>66.11</x:v>
      </x:c>
      <x:c r="C143" s="46" t="n">
        <x:v>1.526723114013672</x:v>
      </x:c>
      <x:c r="D143" s="44" t="n">
        <x:v>10000</x:v>
      </x:c>
      <x:c r="E143" s="47" t="n">
        <x:v>21.54975862056017</x:v>
      </x:c>
      <x:c r="F143" s="47" t="n">
        <x:v>0.18593180179595947</x:v>
      </x:c>
      <x:c r="G143" s="48" t="n">
        <x:v>14155776</x:v>
      </x:c>
      <x:c r="H143" s="48" t="n">
        <x:v>0</x:v>
      </x:c>
      <x:c r="I143" s="48" t="n">
        <x:v>31698</x:v>
      </x:c>
    </x:row>
    <x:row r="144">
      <x:c r="A144" s="44" t="n">
        <x:v>10142</x:v>
      </x:c>
      <x:c r="B144" s="45" t="n">
        <x:v>66.76</x:v>
      </x:c>
      <x:c r="C144" s="46" t="n">
        <x:v>1.509871600341797</x:v>
      </x:c>
      <x:c r="D144" s="44" t="n">
        <x:v>10000</x:v>
      </x:c>
      <x:c r="E144" s="47" t="n">
        <x:v>21.51271889731288</x:v>
      </x:c>
      <x:c r="F144" s="47" t="n">
        <x:v>0.15042583644390106</x:v>
      </x:c>
      <x:c r="G144" s="48" t="n">
        <x:v>14155776</x:v>
      </x:c>
      <x:c r="H144" s="48" t="n">
        <x:v>0</x:v>
      </x:c>
      <x:c r="I144" s="48" t="n">
        <x:v>31724</x:v>
      </x:c>
    </x:row>
    <x:row r="145">
      <x:c r="A145" s="44" t="n">
        <x:v>10143</x:v>
      </x:c>
      <x:c r="B145" s="45" t="n">
        <x:v>66.54</x:v>
      </x:c>
      <x:c r="C145" s="46" t="n">
        <x:v>1.540172491455078</x:v>
      </x:c>
      <x:c r="D145" s="44" t="n">
        <x:v>10000</x:v>
      </x:c>
      <x:c r="E145" s="47" t="n">
        <x:v>21.539552450180054</x:v>
      </x:c>
      <x:c r="F145" s="47" t="n">
        <x:v>0.13501258566975594</x:v>
      </x:c>
      <x:c r="G145" s="48" t="n">
        <x:v>14155776</x:v>
      </x:c>
      <x:c r="H145" s="48" t="n">
        <x:v>0</x:v>
      </x:c>
      <x:c r="I145" s="48" t="n">
        <x:v>31710</x:v>
      </x:c>
    </x:row>
    <x:row r="146">
      <x:c r="A146" s="44" t="n">
        <x:v>10144</x:v>
      </x:c>
      <x:c r="B146" s="45" t="n">
        <x:v>66.65</x:v>
      </x:c>
      <x:c r="C146" s="46" t="n">
        <x:v>1.5082989120483399</x:v>
      </x:c>
      <x:c r="D146" s="44" t="n">
        <x:v>10000</x:v>
      </x:c>
      <x:c r="E146" s="47" t="n">
        <x:v>21.508206617087126</x:v>
      </x:c>
      <x:c r="F146" s="47" t="n">
        <x:v>0.15783343464136124</x:v>
      </x:c>
      <x:c r="G146" s="48" t="n">
        <x:v>14155776</x:v>
      </x:c>
      <x:c r="H146" s="48" t="n">
        <x:v>0</x:v>
      </x:c>
      <x:c r="I146" s="48" t="n">
        <x:v>31735</x:v>
      </x:c>
    </x:row>
    <x:row r="147">
      <x:c r="A147" s="44" t="n">
        <x:v>10145</x:v>
      </x:c>
      <x:c r="B147" s="45" t="n">
        <x:v>65.48</x:v>
      </x:c>
      <x:c r="C147" s="46" t="n">
        <x:v>1.5846513854980468</x:v>
      </x:c>
      <x:c r="D147" s="44" t="n">
        <x:v>10000</x:v>
      </x:c>
      <x:c r="E147" s="47" t="n">
        <x:v>21.533932331949472</x:v>
      </x:c>
      <x:c r="F147" s="47" t="n">
        <x:v>0.2032538652420044</x:v>
      </x:c>
      <x:c r="G147" s="48" t="n">
        <x:v>14155776</x:v>
      </x:c>
      <x:c r="H147" s="48" t="n">
        <x:v>0</x:v>
      </x:c>
      <x:c r="I147" s="48" t="n">
        <x:v>31720</x:v>
      </x:c>
    </x:row>
    <x:row r="148">
      <x:c r="A148" s="44" t="n">
        <x:v>10146</x:v>
      </x:c>
      <x:c r="B148" s="45" t="n">
        <x:v>66.59</x:v>
      </x:c>
      <x:c r="C148" s="46" t="n">
        <x:v>1.5274566802978515</x:v>
      </x:c>
      <x:c r="D148" s="44" t="n">
        <x:v>10000</x:v>
      </x:c>
      <x:c r="E148" s="47" t="n">
        <x:v>21.518201243132353</x:v>
      </x:c>
      <x:c r="F148" s="47" t="n">
        <x:v>0.1673133186995983</x:v>
      </x:c>
      <x:c r="G148" s="48" t="n">
        <x:v>14155776</x:v>
      </x:c>
      <x:c r="H148" s="48" t="n">
        <x:v>0</x:v>
      </x:c>
      <x:c r="I148" s="48" t="n">
        <x:v>31698</x:v>
      </x:c>
    </x:row>
    <x:row r="149">
      <x:c r="A149" s="44" t="n">
        <x:v>10147</x:v>
      </x:c>
      <x:c r="B149" s="45" t="n">
        <x:v>66.93</x:v>
      </x:c>
      <x:c r="C149" s="46" t="n">
        <x:v>1.5144432922363282</x:v>
      </x:c>
      <x:c r="D149" s="44" t="n">
        <x:v>10000</x:v>
      </x:c>
      <x:c r="E149" s="47" t="n">
        <x:v>21.605803161859512</x:v>
      </x:c>
      <x:c r="F149" s="47" t="n">
        <x:v>0.13843442127108574</x:v>
      </x:c>
      <x:c r="G149" s="48" t="n">
        <x:v>14155776</x:v>
      </x:c>
      <x:c r="H149" s="48" t="n">
        <x:v>0</x:v>
      </x:c>
      <x:c r="I149" s="48" t="n">
        <x:v>31740</x:v>
      </x:c>
    </x:row>
    <x:row r="150">
      <x:c r="A150" s="44" t="n">
        <x:v>10148</x:v>
      </x:c>
      <x:c r="B150" s="45" t="n">
        <x:v>66.78</x:v>
      </x:c>
      <x:c r="C150" s="46" t="n">
        <x:v>1.5165261779785155</x:v>
      </x:c>
      <x:c r="D150" s="44" t="n">
        <x:v>10000</x:v>
      </x:c>
      <x:c r="E150" s="47" t="n">
        <x:v>21.525316428393126</x:v>
      </x:c>
      <x:c r="F150" s="47" t="n">
        <x:v>0.1608288250863552</x:v>
      </x:c>
      <x:c r="G150" s="48" t="n">
        <x:v>14155776</x:v>
      </x:c>
      <x:c r="H150" s="48" t="n">
        <x:v>0</x:v>
      </x:c>
      <x:c r="I150" s="48" t="n">
        <x:v>31721</x:v>
      </x:c>
    </x:row>
    <x:row r="151">
      <x:c r="A151" s="44" t="n">
        <x:v>10149</x:v>
      </x:c>
      <x:c r="B151" s="45" t="n">
        <x:v>67.62</x:v>
      </x:c>
      <x:c r="C151" s="46" t="n">
        <x:v>1.4955792999267579</x:v>
      </x:c>
      <x:c r="D151" s="44" t="n">
        <x:v>10000</x:v>
      </x:c>
      <x:c r="E151" s="47" t="n">
        <x:v>21.628820274025202</x:v>
      </x:c>
      <x:c r="F151" s="47" t="n">
        <x:v>0.09741049259901047</x:v>
      </x:c>
      <x:c r="G151" s="48" t="n">
        <x:v>14155776</x:v>
      </x:c>
      <x:c r="H151" s="48" t="n">
        <x:v>0</x:v>
      </x:c>
      <x:c r="I151" s="48" t="n">
        <x:v>31704</x:v>
      </x:c>
    </x:row>
    <x:row r="152">
      <x:c r="A152" s="44" t="n">
        <x:v>10150</x:v>
      </x:c>
      <x:c r="B152" s="45" t="n">
        <x:v>66.98</x:v>
      </x:c>
      <x:c r="C152" s="46" t="n">
        <x:v>1.4998952774047851</x:v>
      </x:c>
      <x:c r="D152" s="44" t="n">
        <x:v>10000</x:v>
      </x:c>
      <x:c r="E152" s="47" t="n">
        <x:v>21.59426247701049</x:v>
      </x:c>
      <x:c r="F152" s="47" t="n">
        <x:v>0.06758870556950569</x:v>
      </x:c>
      <x:c r="G152" s="48" t="n">
        <x:v>14155776</x:v>
      </x:c>
      <x:c r="H152" s="48" t="n">
        <x:v>0</x:v>
      </x:c>
      <x:c r="I152" s="48" t="n">
        <x:v>31742</x:v>
      </x:c>
    </x:row>
    <x:row r="153">
      <x:c r="A153" s="44" t="n">
        <x:v>10151</x:v>
      </x:c>
      <x:c r="B153" s="45" t="n">
        <x:v>65.29</x:v>
      </x:c>
      <x:c r="C153" s="46" t="n">
        <x:v>1.586252976989746</x:v>
      </x:c>
      <x:c r="D153" s="44" t="n">
        <x:v>10000</x:v>
      </x:c>
      <x:c r="E153" s="47" t="n">
        <x:v>21.55042127519846</x:v>
      </x:c>
      <x:c r="F153" s="47" t="n">
        <x:v>0.13947419077157974</x:v>
      </x:c>
      <x:c r="G153" s="48" t="n">
        <x:v>14155776</x:v>
      </x:c>
      <x:c r="H153" s="48" t="n">
        <x:v>0</x:v>
      </x:c>
      <x:c r="I153" s="48" t="n">
        <x:v>31714</x:v>
      </x:c>
    </x:row>
    <x:row r="154">
      <x:c r="A154" s="44" t="n">
        <x:v>10152</x:v>
      </x:c>
      <x:c r="B154" s="45" t="n">
        <x:v>62.99</x:v>
      </x:c>
      <x:c r="C154" s="46" t="n">
        <x:v>1.6587637619018554</x:v>
      </x:c>
      <x:c r="D154" s="44" t="n">
        <x:v>10000</x:v>
      </x:c>
      <x:c r="E154" s="47" t="n">
        <x:v>21.401861865073442</x:v>
      </x:c>
      <x:c r="F154" s="47" t="n">
        <x:v>0.1658264771103859</x:v>
      </x:c>
      <x:c r="G154" s="48" t="n">
        <x:v>14155776</x:v>
      </x:c>
      <x:c r="H154" s="48" t="n">
        <x:v>0</x:v>
      </x:c>
      <x:c r="I154" s="48" t="n">
        <x:v>31700</x:v>
      </x:c>
    </x:row>
    <x:row r="155">
      <x:c r="A155" s="44" t="n">
        <x:v>10153</x:v>
      </x:c>
      <x:c r="B155" s="45" t="n">
        <x:v>65.8</x:v>
      </x:c>
      <x:c r="C155" s="46" t="n">
        <x:v>1.5574118972778321</x:v>
      </x:c>
      <x:c r="D155" s="44" t="n">
        <x:v>10000</x:v>
      </x:c>
      <x:c r="E155" s="47" t="n">
        <x:v>21.603973917663097</x:v>
      </x:c>
      <x:c r="F155" s="47" t="n">
        <x:v>0.1332581490278244</x:v>
      </x:c>
      <x:c r="G155" s="48" t="n">
        <x:v>14155776</x:v>
      </x:c>
      <x:c r="H155" s="48" t="n">
        <x:v>0</x:v>
      </x:c>
      <x:c r="I155" s="48" t="n">
        <x:v>31705</x:v>
      </x:c>
    </x:row>
    <x:row r="156">
      <x:c r="A156" s="44" t="n">
        <x:v>10154</x:v>
      </x:c>
      <x:c r="B156" s="45" t="n">
        <x:v>66.48</x:v>
      </x:c>
      <x:c r="C156" s="46" t="n">
        <x:v>1.520010107421875</x:v>
      </x:c>
      <x:c r="D156" s="44" t="n">
        <x:v>10000</x:v>
      </x:c>
      <x:c r="E156" s="47" t="n">
        <x:v>21.5947082079947</x:v>
      </x:c>
      <x:c r="F156" s="47" t="n">
        <x:v>0.28137803450226784</x:v>
      </x:c>
      <x:c r="G156" s="48" t="n">
        <x:v>14155776</x:v>
      </x:c>
      <x:c r="H156" s="48" t="n">
        <x:v>0</x:v>
      </x:c>
      <x:c r="I156" s="48" t="n">
        <x:v>31711</x:v>
      </x:c>
    </x:row>
    <x:row r="157">
      <x:c r="A157" s="44" t="n">
        <x:v>10155</x:v>
      </x:c>
      <x:c r="B157" s="45" t="n">
        <x:v>66.34</x:v>
      </x:c>
      <x:c r="C157" s="46" t="n">
        <x:v>1.50791104888916</x:v>
      </x:c>
      <x:c r="D157" s="44" t="n">
        <x:v>10000</x:v>
      </x:c>
      <x:c r="E157" s="47" t="n">
        <x:v>21.680004492402077</x:v>
      </x:c>
      <x:c r="F157" s="47" t="n">
        <x:v>0.1779128983616829</x:v>
      </x:c>
      <x:c r="G157" s="48" t="n">
        <x:v>14155776</x:v>
      </x:c>
      <x:c r="H157" s="48" t="n">
        <x:v>0</x:v>
      </x:c>
      <x:c r="I157" s="48" t="n">
        <x:v>31715</x:v>
      </x:c>
    </x:row>
    <x:row r="158">
      <x:c r="A158" s="44" t="n">
        <x:v>10156</x:v>
      </x:c>
      <x:c r="B158" s="45" t="n">
        <x:v>65.85</x:v>
      </x:c>
      <x:c r="C158" s="46" t="n">
        <x:v>1.5690170440673827</x:v>
      </x:c>
      <x:c r="D158" s="44" t="n">
        <x:v>10000</x:v>
      </x:c>
      <x:c r="E158" s="47" t="n">
        <x:v>21.522571347653866</x:v>
      </x:c>
      <x:c r="F158" s="47" t="n">
        <x:v>0.17209313809871674</x:v>
      </x:c>
      <x:c r="G158" s="48" t="n">
        <x:v>14155776</x:v>
      </x:c>
      <x:c r="H158" s="48" t="n">
        <x:v>0</x:v>
      </x:c>
      <x:c r="I158" s="48" t="n">
        <x:v>31711</x:v>
      </x:c>
    </x:row>
    <x:row r="159">
      <x:c r="A159" s="44" t="n">
        <x:v>10157</x:v>
      </x:c>
      <x:c r="B159" s="45" t="n">
        <x:v>66.13</x:v>
      </x:c>
      <x:c r="C159" s="46" t="n">
        <x:v>1.5287084075927735</x:v>
      </x:c>
      <x:c r="D159" s="44" t="n">
        <x:v>10000</x:v>
      </x:c>
      <x:c r="E159" s="47" t="n">
        <x:v>21.471833873540163</x:v>
      </x:c>
      <x:c r="F159" s="47" t="n">
        <x:v>0.1616130881011486</x:v>
      </x:c>
      <x:c r="G159" s="48" t="n">
        <x:v>14155776</x:v>
      </x:c>
      <x:c r="H159" s="48" t="n">
        <x:v>0</x:v>
      </x:c>
      <x:c r="I159" s="48" t="n">
        <x:v>31740</x:v>
      </x:c>
    </x:row>
    <x:row r="160">
      <x:c r="A160" s="44" t="n">
        <x:v>10158</x:v>
      </x:c>
      <x:c r="B160" s="45" t="n">
        <x:v>66.46</x:v>
      </x:c>
      <x:c r="C160" s="46" t="n">
        <x:v>1.5398130218505859</x:v>
      </x:c>
      <x:c r="D160" s="44" t="n">
        <x:v>10000</x:v>
      </x:c>
      <x:c r="E160" s="47" t="n">
        <x:v>21.447697553783655</x:v>
      </x:c>
      <x:c r="F160" s="47" t="n">
        <x:v>0.22427139803767204</x:v>
      </x:c>
      <x:c r="G160" s="48" t="n">
        <x:v>14155776</x:v>
      </x:c>
      <x:c r="H160" s="48" t="n">
        <x:v>0</x:v>
      </x:c>
      <x:c r="I160" s="48" t="n">
        <x:v>31705</x:v>
      </x:c>
    </x:row>
    <x:row r="161">
      <x:c r="A161" s="44" t="n">
        <x:v>10159</x:v>
      </x:c>
      <x:c r="B161" s="45" t="n">
        <x:v>64.98</x:v>
      </x:c>
      <x:c r="C161" s="46" t="n">
        <x:v>1.5843492568969726</x:v>
      </x:c>
      <x:c r="D161" s="44" t="n">
        <x:v>10000</x:v>
      </x:c>
      <x:c r="E161" s="47" t="n">
        <x:v>21.58434483781457</x:v>
      </x:c>
      <x:c r="F161" s="47" t="n">
        <x:v>0.2003854401409626</x:v>
      </x:c>
      <x:c r="G161" s="48" t="n">
        <x:v>14155776</x:v>
      </x:c>
      <x:c r="H161" s="48" t="n">
        <x:v>0</x:v>
      </x:c>
      <x:c r="I161" s="48" t="n">
        <x:v>31731</x:v>
      </x:c>
    </x:row>
    <x:row r="162">
      <x:c r="A162" s="44" t="n">
        <x:v>10160</x:v>
      </x:c>
      <x:c r="B162" s="45" t="n">
        <x:v>63.79</x:v>
      </x:c>
      <x:c r="C162" s="46" t="n">
        <x:v>1.6352612030029297</x:v>
      </x:c>
      <x:c r="D162" s="44" t="n">
        <x:v>10000</x:v>
      </x:c>
      <x:c r="E162" s="47" t="n">
        <x:v>21.50952871143818</x:v>
      </x:c>
      <x:c r="F162" s="47" t="n">
        <x:v>0.21160927042365074</x:v>
      </x:c>
      <x:c r="G162" s="48" t="n">
        <x:v>14155776</x:v>
      </x:c>
      <x:c r="H162" s="48" t="n">
        <x:v>0</x:v>
      </x:c>
      <x:c r="I162" s="48" t="n">
        <x:v>31726</x:v>
      </x:c>
    </x:row>
    <x:row r="163">
      <x:c r="A163" s="44" t="n">
        <x:v>10161</x:v>
      </x:c>
      <x:c r="B163" s="45" t="n">
        <x:v>65.43</x:v>
      </x:c>
      <x:c r="C163" s="46" t="n">
        <x:v>1.6238605834960937</x:v>
      </x:c>
      <x:c r="D163" s="44" t="n">
        <x:v>10000</x:v>
      </x:c>
      <x:c r="E163" s="47" t="n">
        <x:v>21.61011430621147</x:v>
      </x:c>
      <x:c r="F163" s="47" t="n">
        <x:v>0.20168542116880417</x:v>
      </x:c>
      <x:c r="G163" s="48" t="n">
        <x:v>14155776</x:v>
      </x:c>
      <x:c r="H163" s="48" t="n">
        <x:v>0</x:v>
      </x:c>
      <x:c r="I163" s="48" t="n">
        <x:v>31719</x:v>
      </x:c>
    </x:row>
    <x:row r="164">
      <x:c r="A164" s="44" t="n">
        <x:v>10162</x:v>
      </x:c>
      <x:c r="B164" s="45" t="n">
        <x:v>66.63</x:v>
      </x:c>
      <x:c r="C164" s="46" t="n">
        <x:v>1.495136572265625</x:v>
      </x:c>
      <x:c r="D164" s="44" t="n">
        <x:v>10000</x:v>
      </x:c>
      <x:c r="E164" s="47" t="n">
        <x:v>21.508862301707268</x:v>
      </x:c>
      <x:c r="F164" s="47" t="n">
        <x:v>0.16386985778808594</x:v>
      </x:c>
      <x:c r="G164" s="48" t="n">
        <x:v>14155776</x:v>
      </x:c>
      <x:c r="H164" s="48" t="n">
        <x:v>0</x:v>
      </x:c>
      <x:c r="I164" s="48" t="n">
        <x:v>31698</x:v>
      </x:c>
    </x:row>
    <x:row r="165">
      <x:c r="A165" s="44" t="n">
        <x:v>10163</x:v>
      </x:c>
      <x:c r="B165" s="45" t="n">
        <x:v>66.95</x:v>
      </x:c>
      <x:c r="C165" s="46" t="n">
        <x:v>1.4880058563232421</x:v>
      </x:c>
      <x:c r="D165" s="44" t="n">
        <x:v>10000</x:v>
      </x:c>
      <x:c r="E165" s="47" t="n">
        <x:v>21.587807901203632</x:v>
      </x:c>
      <x:c r="F165" s="47" t="n">
        <x:v>0.1569110043346882</x:v>
      </x:c>
      <x:c r="G165" s="48" t="n">
        <x:v>14155776</x:v>
      </x:c>
      <x:c r="H165" s="48" t="n">
        <x:v>0</x:v>
      </x:c>
      <x:c r="I165" s="48" t="n">
        <x:v>31713</x:v>
      </x:c>
    </x:row>
    <x:row r="166">
      <x:c r="A166" s="44" t="n">
        <x:v>10164</x:v>
      </x:c>
      <x:c r="B166" s="45" t="n">
        <x:v>66</x:v>
      </x:c>
      <x:c r="C166" s="46" t="n">
        <x:v>1.5871760818481446</x:v>
      </x:c>
      <x:c r="D166" s="44" t="n">
        <x:v>10000</x:v>
      </x:c>
      <x:c r="E166" s="47" t="n">
        <x:v>21.553881097584963</x:v>
      </x:c>
      <x:c r="F166" s="47" t="n">
        <x:v>0.1504981964826584</x:v>
      </x:c>
      <x:c r="G166" s="48" t="n">
        <x:v>14155776</x:v>
      </x:c>
      <x:c r="H166" s="48" t="n">
        <x:v>0</x:v>
      </x:c>
      <x:c r="I166" s="48" t="n">
        <x:v>31719</x:v>
      </x:c>
    </x:row>
    <x:row r="167">
      <x:c r="A167" s="44" t="n">
        <x:v>10165</x:v>
      </x:c>
      <x:c r="B167" s="45" t="n">
        <x:v>64.73</x:v>
      </x:c>
      <x:c r="C167" s="46" t="n">
        <x:v>1.6462830642700195</x:v>
      </x:c>
      <x:c r="D167" s="44" t="n">
        <x:v>10000</x:v>
      </x:c>
      <x:c r="E167" s="47" t="n">
        <x:v>21.53693215176463</x:v>
      </x:c>
      <x:c r="F167" s="47" t="n">
        <x:v>0.18541667982935905</x:v>
      </x:c>
      <x:c r="G167" s="48" t="n">
        <x:v>14155776</x:v>
      </x:c>
      <x:c r="H167" s="48" t="n">
        <x:v>0</x:v>
      </x:c>
      <x:c r="I167" s="48" t="n">
        <x:v>31720</x:v>
      </x:c>
    </x:row>
    <x:row r="168">
      <x:c r="A168" s="44" t="n">
        <x:v>10166</x:v>
      </x:c>
      <x:c r="B168" s="45" t="n">
        <x:v>66.53</x:v>
      </x:c>
      <x:c r="C168" s="46" t="n">
        <x:v>1.5200228546142578</x:v>
      </x:c>
      <x:c r="D168" s="44" t="n">
        <x:v>10000</x:v>
      </x:c>
      <x:c r="E168" s="47" t="n">
        <x:v>21.52385278046131</x:v>
      </x:c>
      <x:c r="F168" s="47" t="n">
        <x:v>0.1322338618338108</x:v>
      </x:c>
      <x:c r="G168" s="48" t="n">
        <x:v>14155776</x:v>
      </x:c>
      <x:c r="H168" s="48" t="n">
        <x:v>0</x:v>
      </x:c>
      <x:c r="I168" s="48" t="n">
        <x:v>31727</x:v>
      </x:c>
    </x:row>
    <x:row r="169">
      <x:c r="A169" s="44" t="n">
        <x:v>10167</x:v>
      </x:c>
      <x:c r="B169" s="45" t="n">
        <x:v>64.96</x:v>
      </x:c>
      <x:c r="C169" s="46" t="n">
        <x:v>1.6094330688476564</x:v>
      </x:c>
      <x:c r="D169" s="44" t="n">
        <x:v>10000</x:v>
      </x:c>
      <x:c r="E169" s="47" t="n">
        <x:v>21.577028211206198</x:v>
      </x:c>
      <x:c r="F169" s="47" t="n">
        <x:v>0.13697680458426476</x:v>
      </x:c>
      <x:c r="G169" s="48" t="n">
        <x:v>14155776</x:v>
      </x:c>
      <x:c r="H169" s="48" t="n">
        <x:v>0</x:v>
      </x:c>
      <x:c r="I169" s="48" t="n">
        <x:v>31715</x:v>
      </x:c>
    </x:row>
    <x:row r="170">
      <x:c r="A170" s="44" t="n">
        <x:v>10168</x:v>
      </x:c>
      <x:c r="B170" s="45" t="n">
        <x:v>63.71</x:v>
      </x:c>
      <x:c r="C170" s="46" t="n">
        <x:v>1.6511936462402343</x:v>
      </x:c>
      <x:c r="D170" s="44" t="n">
        <x:v>10000</x:v>
      </x:c>
      <x:c r="E170" s="47" t="n">
        <x:v>21.551935128867626</x:v>
      </x:c>
      <x:c r="F170" s="47" t="n">
        <x:v>0.12652138993144035</x:v>
      </x:c>
      <x:c r="G170" s="48" t="n">
        <x:v>14155776</x:v>
      </x:c>
      <x:c r="H170" s="48" t="n">
        <x:v>0</x:v>
      </x:c>
      <x:c r="I170" s="48" t="n">
        <x:v>31723</x:v>
      </x:c>
    </x:row>
    <x:row r="171">
      <x:c r="A171" s="44" t="n">
        <x:v>10169</x:v>
      </x:c>
      <x:c r="B171" s="45" t="n">
        <x:v>67.01</x:v>
      </x:c>
      <x:c r="C171" s="46" t="n">
        <x:v>1.5528145385742187</x:v>
      </x:c>
      <x:c r="D171" s="44" t="n">
        <x:v>10000</x:v>
      </x:c>
      <x:c r="E171" s="47" t="n">
        <x:v>21.647209245711565</x:v>
      </x:c>
      <x:c r="F171" s="47" t="n">
        <x:v>0.12138361856341362</x:v>
      </x:c>
      <x:c r="G171" s="48" t="n">
        <x:v>14155776</x:v>
      </x:c>
      <x:c r="H171" s="48" t="n">
        <x:v>0</x:v>
      </x:c>
      <x:c r="I171" s="48" t="n">
        <x:v>31719</x:v>
      </x:c>
    </x:row>
    <x:row r="172">
      <x:c r="A172" s="44" t="n">
        <x:v>10170</x:v>
      </x:c>
      <x:c r="B172" s="45" t="n">
        <x:v>67.18</x:v>
      </x:c>
      <x:c r="C172" s="46" t="n">
        <x:v>1.4792785995483397</x:v>
      </x:c>
      <x:c r="D172" s="44" t="n">
        <x:v>10000</x:v>
      </x:c>
      <x:c r="E172" s="47" t="n">
        <x:v>21.517479948699474</x:v>
      </x:c>
      <x:c r="F172" s="47" t="n">
        <x:v>0.12642212584614754</x:v>
      </x:c>
      <x:c r="G172" s="48" t="n">
        <x:v>14155776</x:v>
      </x:c>
      <x:c r="H172" s="48" t="n">
        <x:v>0</x:v>
      </x:c>
      <x:c r="I172" s="48" t="n">
        <x:v>31727</x:v>
      </x:c>
    </x:row>
    <x:row r="173">
      <x:c r="A173" s="44" t="n">
        <x:v>10171</x:v>
      </x:c>
      <x:c r="B173" s="45" t="n">
        <x:v>66.85</x:v>
      </x:c>
      <x:c r="C173" s="46" t="n">
        <x:v>1.5335568130493165</x:v>
      </x:c>
      <x:c r="D173" s="44" t="n">
        <x:v>10000</x:v>
      </x:c>
      <x:c r="E173" s="47" t="n">
        <x:v>21.576233260333538</x:v>
      </x:c>
      <x:c r="F173" s="47" t="n">
        <x:v>0.1937876082956791</x:v>
      </x:c>
      <x:c r="G173" s="48" t="n">
        <x:v>14155776</x:v>
      </x:c>
      <x:c r="H173" s="48" t="n">
        <x:v>0</x:v>
      </x:c>
      <x:c r="I173" s="48" t="n">
        <x:v>31717</x:v>
      </x:c>
    </x:row>
    <x:row r="174">
      <x:c r="A174" s="44" t="n">
        <x:v>10172</x:v>
      </x:c>
      <x:c r="B174" s="45" t="n">
        <x:v>66.06</x:v>
      </x:c>
      <x:c r="C174" s="46" t="n">
        <x:v>1.5964412094116212</x:v>
      </x:c>
      <x:c r="D174" s="44" t="n">
        <x:v>10000</x:v>
      </x:c>
      <x:c r="E174" s="47" t="n">
        <x:v>21.499205507338047</x:v>
      </x:c>
      <x:c r="F174" s="47" t="n">
        <x:v>0.15898718312382698</x:v>
      </x:c>
      <x:c r="G174" s="48" t="n">
        <x:v>14155776</x:v>
      </x:c>
      <x:c r="H174" s="48" t="n">
        <x:v>0</x:v>
      </x:c>
      <x:c r="I174" s="48" t="n">
        <x:v>31710</x:v>
      </x:c>
    </x:row>
    <x:row r="175">
      <x:c r="A175" s="44" t="n">
        <x:v>10173</x:v>
      </x:c>
      <x:c r="B175" s="45" t="n">
        <x:v>66.65</x:v>
      </x:c>
      <x:c r="C175" s="46" t="n">
        <x:v>1.5237230682373046</x:v>
      </x:c>
      <x:c r="D175" s="44" t="n">
        <x:v>10000</x:v>
      </x:c>
      <x:c r="E175" s="47" t="n">
        <x:v>21.575249064713717</x:v>
      </x:c>
      <x:c r="F175" s="47" t="n">
        <x:v>0.1940721534192562</x:v>
      </x:c>
      <x:c r="G175" s="48" t="n">
        <x:v>14155776</x:v>
      </x:c>
      <x:c r="H175" s="48" t="n">
        <x:v>0</x:v>
      </x:c>
      <x:c r="I175" s="48" t="n">
        <x:v>31708</x:v>
      </x:c>
    </x:row>
    <x:row r="176">
      <x:c r="A176" s="44" t="n">
        <x:v>10174</x:v>
      </x:c>
      <x:c r="B176" s="45" t="n">
        <x:v>66.75</x:v>
      </x:c>
      <x:c r="C176" s="46" t="n">
        <x:v>1.5172060089111328</x:v>
      </x:c>
      <x:c r="D176" s="44" t="n">
        <x:v>10000</x:v>
      </x:c>
      <x:c r="E176" s="47" t="n">
        <x:v>21.527854043990374</x:v>
      </x:c>
      <x:c r="F176" s="47" t="n">
        <x:v>0.1654045544564724</x:v>
      </x:c>
      <x:c r="G176" s="48" t="n">
        <x:v>14155776</x:v>
      </x:c>
      <x:c r="H176" s="48" t="n">
        <x:v>0</x:v>
      </x:c>
      <x:c r="I176" s="48" t="n">
        <x:v>31737</x:v>
      </x:c>
    </x:row>
    <x:row r="177">
      <x:c r="A177" s="44" t="n">
        <x:v>10175</x:v>
      </x:c>
      <x:c r="B177" s="45" t="n">
        <x:v>66.32</x:v>
      </x:c>
      <x:c r="C177" s="46" t="n">
        <x:v>1.5172711227416993</x:v>
      </x:c>
      <x:c r="D177" s="44" t="n">
        <x:v>10000</x:v>
      </x:c>
      <x:c r="E177" s="47" t="n">
        <x:v>21.564266745001078</x:v>
      </x:c>
      <x:c r="F177" s="47" t="n">
        <x:v>0.19837602600455284</x:v>
      </x:c>
      <x:c r="G177" s="48" t="n">
        <x:v>14155776</x:v>
      </x:c>
      <x:c r="H177" s="48" t="n">
        <x:v>0</x:v>
      </x:c>
      <x:c r="I177" s="48" t="n">
        <x:v>31711</x:v>
      </x:c>
    </x:row>
    <x:row r="178">
      <x:c r="A178" s="44" t="n">
        <x:v>10176</x:v>
      </x:c>
      <x:c r="B178" s="45" t="n">
        <x:v>67.09</x:v>
      </x:c>
      <x:c r="C178" s="46" t="n">
        <x:v>1.457451968383789</x:v>
      </x:c>
      <x:c r="D178" s="44" t="n">
        <x:v>10000</x:v>
      </x:c>
      <x:c r="E178" s="47" t="n">
        <x:v>21.568075612187386</x:v>
      </x:c>
      <x:c r="F178" s="47" t="n">
        <x:v>0.0682135559618473</x:v>
      </x:c>
      <x:c r="G178" s="48" t="n">
        <x:v>14155776</x:v>
      </x:c>
      <x:c r="H178" s="48" t="n">
        <x:v>0</x:v>
      </x:c>
      <x:c r="I178" s="48" t="n">
        <x:v>31722</x:v>
      </x:c>
    </x:row>
    <x:row r="179">
      <x:c r="A179" s="44" t="n">
        <x:v>10177</x:v>
      </x:c>
      <x:c r="B179" s="45" t="n">
        <x:v>66.13</x:v>
      </x:c>
      <x:c r="C179" s="46" t="n">
        <x:v>1.5351697860717775</x:v>
      </x:c>
      <x:c r="D179" s="44" t="n">
        <x:v>10000</x:v>
      </x:c>
      <x:c r="E179" s="47" t="n">
        <x:v>21.52856457233429</x:v>
      </x:c>
      <x:c r="F179" s="47" t="n">
        <x:v>0.2073071338236332</x:v>
      </x:c>
      <x:c r="G179" s="48" t="n">
        <x:v>14155776</x:v>
      </x:c>
      <x:c r="H179" s="48" t="n">
        <x:v>0</x:v>
      </x:c>
      <x:c r="I179" s="48" t="n">
        <x:v>31709</x:v>
      </x:c>
    </x:row>
    <x:row r="180">
      <x:c r="A180" s="44" t="n">
        <x:v>10178</x:v>
      </x:c>
      <x:c r="B180" s="45" t="n">
        <x:v>66.94</x:v>
      </x:c>
      <x:c r="C180" s="46" t="n">
        <x:v>1.5076476608276368</x:v>
      </x:c>
      <x:c r="D180" s="44" t="n">
        <x:v>10000</x:v>
      </x:c>
      <x:c r="E180" s="47" t="n">
        <x:v>21.488578613847494</x:v>
      </x:c>
      <x:c r="F180" s="47" t="n">
        <x:v>0.10277038812637329</x:v>
      </x:c>
      <x:c r="G180" s="48" t="n">
        <x:v>14155776</x:v>
      </x:c>
      <x:c r="H180" s="48" t="n">
        <x:v>0</x:v>
      </x:c>
      <x:c r="I180" s="48" t="n">
        <x:v>31712</x:v>
      </x:c>
    </x:row>
    <x:row r="181">
      <x:c r="A181" s="44" t="n">
        <x:v>10179</x:v>
      </x:c>
      <x:c r="B181" s="45" t="n">
        <x:v>67.23</x:v>
      </x:c>
      <x:c r="C181" s="46" t="n">
        <x:v>1.4862323059082032</x:v>
      </x:c>
      <x:c r="D181" s="44" t="n">
        <x:v>10000</x:v>
      </x:c>
      <x:c r="E181" s="47" t="n">
        <x:v>21.619799859821796</x:v>
      </x:c>
      <x:c r="F181" s="47" t="n">
        <x:v>0.15183717757463455</x:v>
      </x:c>
      <x:c r="G181" s="48" t="n">
        <x:v>14155776</x:v>
      </x:c>
      <x:c r="H181" s="48" t="n">
        <x:v>0</x:v>
      </x:c>
      <x:c r="I181" s="48" t="n">
        <x:v>31706</x:v>
      </x:c>
    </x:row>
    <x:row r="182">
      <x:c r="A182" s="44" t="n">
        <x:v>10180</x:v>
      </x:c>
      <x:c r="B182" s="45" t="n">
        <x:v>67.1</x:v>
      </x:c>
      <x:c r="C182" s="46" t="n">
        <x:v>1.5067171951293945</x:v>
      </x:c>
      <x:c r="D182" s="44" t="n">
        <x:v>10000</x:v>
      </x:c>
      <x:c r="E182" s="47" t="n">
        <x:v>21.585951752960682</x:v>
      </x:c>
      <x:c r="F182" s="47" t="n">
        <x:v>0.08853332698345184</x:v>
      </x:c>
      <x:c r="G182" s="48" t="n">
        <x:v>14155776</x:v>
      </x:c>
      <x:c r="H182" s="48" t="n">
        <x:v>0</x:v>
      </x:c>
      <x:c r="I182" s="48" t="n">
        <x:v>31724</x:v>
      </x:c>
    </x:row>
    <x:row r="183">
      <x:c r="A183" s="44" t="n">
        <x:v>10181</x:v>
      </x:c>
      <x:c r="B183" s="45" t="n">
        <x:v>62.47</x:v>
      </x:c>
      <x:c r="C183" s="46" t="n">
        <x:v>1.7260904266357422</x:v>
      </x:c>
      <x:c r="D183" s="44" t="n">
        <x:v>10000</x:v>
      </x:c>
      <x:c r="E183" s="47" t="n">
        <x:v>21.532270278781652</x:v>
      </x:c>
      <x:c r="F183" s="47" t="n">
        <x:v>0.14891812950372696</x:v>
      </x:c>
      <x:c r="G183" s="48" t="n">
        <x:v>14155776</x:v>
      </x:c>
      <x:c r="H183" s="48" t="n">
        <x:v>0</x:v>
      </x:c>
      <x:c r="I183" s="48" t="n">
        <x:v>31726</x:v>
      </x:c>
    </x:row>
    <x:row r="184">
      <x:c r="A184" s="44" t="n">
        <x:v>10182</x:v>
      </x:c>
      <x:c r="B184" s="45" t="n">
        <x:v>66.44</x:v>
      </x:c>
      <x:c r="C184" s="46" t="n">
        <x:v>1.4914917098999023</x:v>
      </x:c>
      <x:c r="D184" s="44" t="n">
        <x:v>10000</x:v>
      </x:c>
      <x:c r="E184" s="47" t="n">
        <x:v>21.557025119662285</x:v>
      </x:c>
      <x:c r="F184" s="47" t="n">
        <x:v>0.08931565657258034</x:v>
      </x:c>
      <x:c r="G184" s="48" t="n">
        <x:v>14155776</x:v>
      </x:c>
      <x:c r="H184" s="48" t="n">
        <x:v>0</x:v>
      </x:c>
      <x:c r="I184" s="48" t="n">
        <x:v>31703</x:v>
      </x:c>
    </x:row>
    <x:row r="185">
      <x:c r="A185" s="44" t="n">
        <x:v>10183</x:v>
      </x:c>
      <x:c r="B185" s="45" t="n">
        <x:v>65.89</x:v>
      </x:c>
      <x:c r="C185" s="46" t="n">
        <x:v>1.6069897506713868</x:v>
      </x:c>
      <x:c r="D185" s="44" t="n">
        <x:v>10000</x:v>
      </x:c>
      <x:c r="E185" s="47" t="n">
        <x:v>21.55357687920332</x:v>
      </x:c>
      <x:c r="F185" s="47" t="n">
        <x:v>0.1526513770222664</x:v>
      </x:c>
      <x:c r="G185" s="48" t="n">
        <x:v>14155776</x:v>
      </x:c>
      <x:c r="H185" s="48" t="n">
        <x:v>0</x:v>
      </x:c>
      <x:c r="I185" s="48" t="n">
        <x:v>31711</x:v>
      </x:c>
    </x:row>
    <x:row r="186">
      <x:c r="A186" s="44" t="n">
        <x:v>10184</x:v>
      </x:c>
      <x:c r="B186" s="45" t="n">
        <x:v>64.46</x:v>
      </x:c>
      <x:c r="C186" s="46" t="n">
        <x:v>1.6137897613525392</x:v>
      </x:c>
      <x:c r="D186" s="44" t="n">
        <x:v>10000</x:v>
      </x:c>
      <x:c r="E186" s="47" t="n">
        <x:v>21.590869430452585</x:v>
      </x:c>
      <x:c r="F186" s="47" t="n">
        <x:v>0.1186600811779499</x:v>
      </x:c>
      <x:c r="G186" s="48" t="n">
        <x:v>14155776</x:v>
      </x:c>
      <x:c r="H186" s="48" t="n">
        <x:v>0</x:v>
      </x:c>
      <x:c r="I186" s="48" t="n">
        <x:v>31698</x:v>
      </x:c>
    </x:row>
    <x:row r="187">
      <x:c r="A187" s="44" t="n">
        <x:v>10185</x:v>
      </x:c>
      <x:c r="B187" s="45" t="n">
        <x:v>65.92</x:v>
      </x:c>
      <x:c r="C187" s="46" t="n">
        <x:v>1.5181444946289062</x:v>
      </x:c>
      <x:c r="D187" s="44" t="n">
        <x:v>10000</x:v>
      </x:c>
      <x:c r="E187" s="47" t="n">
        <x:v>21.534675415605307</x:v>
      </x:c>
      <x:c r="F187" s="47" t="n">
        <x:v>0.21423614770174026</x:v>
      </x:c>
      <x:c r="G187" s="48" t="n">
        <x:v>14155776</x:v>
      </x:c>
      <x:c r="H187" s="48" t="n">
        <x:v>0</x:v>
      </x:c>
      <x:c r="I187" s="48" t="n">
        <x:v>31726</x:v>
      </x:c>
    </x:row>
    <x:row r="188">
      <x:c r="A188" s="44" t="n">
        <x:v>10186</x:v>
      </x:c>
      <x:c r="B188" s="45" t="n">
        <x:v>67.69</x:v>
      </x:c>
      <x:c r="C188" s="46" t="n">
        <x:v>1.5088264938354492</x:v>
      </x:c>
      <x:c r="D188" s="44" t="n">
        <x:v>10000</x:v>
      </x:c>
      <x:c r="E188" s="47" t="n">
        <x:v>21.619107197970152</x:v>
      </x:c>
      <x:c r="F188" s="47" t="n">
        <x:v>0.08241241052746773</x:v>
      </x:c>
      <x:c r="G188" s="48" t="n">
        <x:v>14155776</x:v>
      </x:c>
      <x:c r="H188" s="48" t="n">
        <x:v>0</x:v>
      </x:c>
      <x:c r="I188" s="48" t="n">
        <x:v>31714</x:v>
      </x:c>
    </x:row>
    <x:row r="189">
      <x:c r="A189" s="44" t="n">
        <x:v>10187</x:v>
      </x:c>
      <x:c r="B189" s="45" t="n">
        <x:v>66.89</x:v>
      </x:c>
      <x:c r="C189" s="46" t="n">
        <x:v>1.509530386352539</x:v>
      </x:c>
      <x:c r="D189" s="44" t="n">
        <x:v>10000</x:v>
      </x:c>
      <x:c r="E189" s="47" t="n">
        <x:v>21.607332464307547</x:v>
      </x:c>
      <x:c r="F189" s="47" t="n">
        <x:v>0.05848633125424385</x:v>
      </x:c>
      <x:c r="G189" s="48" t="n">
        <x:v>14155776</x:v>
      </x:c>
      <x:c r="H189" s="48" t="n">
        <x:v>0</x:v>
      </x:c>
      <x:c r="I189" s="48" t="n">
        <x:v>31716</x:v>
      </x:c>
    </x:row>
    <x:row r="190">
      <x:c r="A190" s="44" t="n">
        <x:v>10188</x:v>
      </x:c>
      <x:c r="B190" s="45" t="n">
        <x:v>66.62</x:v>
      </x:c>
      <x:c r="C190" s="46" t="n">
        <x:v>1.553924382019043</x:v>
      </x:c>
      <x:c r="D190" s="44" t="n">
        <x:v>10000</x:v>
      </x:c>
      <x:c r="E190" s="47" t="n">
        <x:v>21.601948849856853</x:v>
      </x:c>
      <x:c r="F190" s="47" t="n">
        <x:v>0.056926313787698746</x:v>
      </x:c>
      <x:c r="G190" s="48" t="n">
        <x:v>14155776</x:v>
      </x:c>
      <x:c r="H190" s="48" t="n">
        <x:v>0</x:v>
      </x:c>
      <x:c r="I190" s="48" t="n">
        <x:v>31734</x:v>
      </x:c>
    </x:row>
    <x:row r="191">
      <x:c r="A191" s="44" t="n">
        <x:v>10189</x:v>
      </x:c>
      <x:c r="B191" s="45" t="n">
        <x:v>64.5</x:v>
      </x:c>
      <x:c r="C191" s="46" t="n">
        <x:v>1.6447377868652344</x:v>
      </x:c>
      <x:c r="D191" s="44" t="n">
        <x:v>10000</x:v>
      </x:c>
      <x:c r="E191" s="47" t="n">
        <x:v>21.59506342932582</x:v>
      </x:c>
      <x:c r="F191" s="47" t="n">
        <x:v>0.06548645719885826</x:v>
      </x:c>
      <x:c r="G191" s="48" t="n">
        <x:v>14155776</x:v>
      </x:c>
      <x:c r="H191" s="48" t="n">
        <x:v>0</x:v>
      </x:c>
      <x:c r="I191" s="48" t="n">
        <x:v>31721</x:v>
      </x:c>
    </x:row>
    <x:row r="192">
      <x:c r="A192" s="44" t="n">
        <x:v>10190</x:v>
      </x:c>
      <x:c r="B192" s="45" t="n">
        <x:v>65.98</x:v>
      </x:c>
      <x:c r="C192" s="46" t="n">
        <x:v>1.5587443725585937</x:v>
      </x:c>
      <x:c r="D192" s="44" t="n">
        <x:v>10000</x:v>
      </x:c>
      <x:c r="E192" s="47" t="n">
        <x:v>21.534741573035717</x:v>
      </x:c>
      <x:c r="F192" s="47" t="n">
        <x:v>0.14976827055215836</x:v>
      </x:c>
      <x:c r="G192" s="48" t="n">
        <x:v>14155776</x:v>
      </x:c>
      <x:c r="H192" s="48" t="n">
        <x:v>0</x:v>
      </x:c>
      <x:c r="I192" s="48" t="n">
        <x:v>31733</x:v>
      </x:c>
    </x:row>
    <x:row r="193">
      <x:c r="A193" s="44" t="n">
        <x:v>10191</x:v>
      </x:c>
      <x:c r="B193" s="45" t="n">
        <x:v>66.34</x:v>
      </x:c>
      <x:c r="C193" s="46" t="n">
        <x:v>1.5690234298706054</x:v>
      </x:c>
      <x:c r="D193" s="44" t="n">
        <x:v>10000</x:v>
      </x:c>
      <x:c r="E193" s="47" t="n">
        <x:v>21.627959232777357</x:v>
      </x:c>
      <x:c r="F193" s="47" t="n">
        <x:v>0.07942420244216919</x:v>
      </x:c>
      <x:c r="G193" s="48" t="n">
        <x:v>14155776</x:v>
      </x:c>
      <x:c r="H193" s="48" t="n">
        <x:v>0</x:v>
      </x:c>
      <x:c r="I193" s="48" t="n">
        <x:v>31722</x:v>
      </x:c>
    </x:row>
    <x:row r="194">
      <x:c r="A194" s="44" t="n">
        <x:v>10192</x:v>
      </x:c>
      <x:c r="B194" s="45" t="n">
        <x:v>65.17</x:v>
      </x:c>
      <x:c r="C194" s="46" t="n">
        <x:v>1.5477703491210937</x:v>
      </x:c>
      <x:c r="D194" s="44" t="n">
        <x:v>10000</x:v>
      </x:c>
      <x:c r="E194" s="47" t="n">
        <x:v>21.596863586455584</x:v>
      </x:c>
      <x:c r="F194" s="47" t="n">
        <x:v>0.15016968548297882</x:v>
      </x:c>
      <x:c r="G194" s="48" t="n">
        <x:v>14155776</x:v>
      </x:c>
      <x:c r="H194" s="48" t="n">
        <x:v>0</x:v>
      </x:c>
      <x:c r="I194" s="48" t="n">
        <x:v>31708</x:v>
      </x:c>
    </x:row>
    <x:row r="195">
      <x:c r="A195" s="44" t="n">
        <x:v>10193</x:v>
      </x:c>
      <x:c r="B195" s="45" t="n">
        <x:v>66.1</x:v>
      </x:c>
      <x:c r="C195" s="46" t="n">
        <x:v>1.5306393661499023</x:v>
      </x:c>
      <x:c r="D195" s="44" t="n">
        <x:v>10000</x:v>
      </x:c>
      <x:c r="E195" s="47" t="n">
        <x:v>21.610455110669136</x:v>
      </x:c>
      <x:c r="F195" s="47" t="n">
        <x:v>0.31752926856279373</x:v>
      </x:c>
      <x:c r="G195" s="48" t="n">
        <x:v>14155776</x:v>
      </x:c>
      <x:c r="H195" s="48" t="n">
        <x:v>0</x:v>
      </x:c>
      <x:c r="I195" s="48" t="n">
        <x:v>31685</x:v>
      </x:c>
    </x:row>
    <x:row r="196">
      <x:c r="A196" s="44" t="n">
        <x:v>10194</x:v>
      </x:c>
      <x:c r="B196" s="45" t="n">
        <x:v>66.24</x:v>
      </x:c>
      <x:c r="C196" s="46" t="n">
        <x:v>1.541323518371582</x:v>
      </x:c>
      <x:c r="D196" s="44" t="n">
        <x:v>10000</x:v>
      </x:c>
      <x:c r="E196" s="47" t="n">
        <x:v>21.503803309053183</x:v>
      </x:c>
      <x:c r="F196" s="47" t="n">
        <x:v>0.16591038182377815</x:v>
      </x:c>
      <x:c r="G196" s="48" t="n">
        <x:v>14155776</x:v>
      </x:c>
      <x:c r="H196" s="48" t="n">
        <x:v>0</x:v>
      </x:c>
      <x:c r="I196" s="48" t="n">
        <x:v>31708</x:v>
      </x:c>
    </x:row>
    <x:row r="197">
      <x:c r="A197" s="44" t="n">
        <x:v>10195</x:v>
      </x:c>
      <x:c r="B197" s="45" t="n">
        <x:v>65.01</x:v>
      </x:c>
      <x:c r="C197" s="46" t="n">
        <x:v>1.6324382537841797</x:v>
      </x:c>
      <x:c r="D197" s="44" t="n">
        <x:v>10000</x:v>
      </x:c>
      <x:c r="E197" s="47" t="n">
        <x:v>21.545692943036556</x:v>
      </x:c>
      <x:c r="F197" s="47" t="n">
        <x:v>0.17305567488074303</x:v>
      </x:c>
      <x:c r="G197" s="48" t="n">
        <x:v>14155776</x:v>
      </x:c>
      <x:c r="H197" s="48" t="n">
        <x:v>0</x:v>
      </x:c>
      <x:c r="I197" s="48" t="n">
        <x:v>31709</x:v>
      </x:c>
    </x:row>
    <x:row r="198">
      <x:c r="A198" s="44" t="n">
        <x:v>10196</x:v>
      </x:c>
      <x:c r="B198" s="45" t="n">
        <x:v>64.69</x:v>
      </x:c>
      <x:c r="C198" s="46" t="n">
        <x:v>1.5940952651977538</x:v>
      </x:c>
      <x:c r="D198" s="44" t="n">
        <x:v>10000</x:v>
      </x:c>
      <x:c r="E198" s="47" t="n">
        <x:v>21.613391395658255</x:v>
      </x:c>
      <x:c r="F198" s="47" t="n">
        <x:v>0.07395206391811371</x:v>
      </x:c>
      <x:c r="G198" s="48" t="n">
        <x:v>14155776</x:v>
      </x:c>
      <x:c r="H198" s="48" t="n">
        <x:v>0</x:v>
      </x:c>
      <x:c r="I198" s="48" t="n">
        <x:v>31705</x:v>
      </x:c>
    </x:row>
    <x:row r="199">
      <x:c r="A199" s="44" t="n">
        <x:v>10197</x:v>
      </x:c>
      <x:c r="B199" s="45" t="n">
        <x:v>64.88</x:v>
      </x:c>
      <x:c r="C199" s="46" t="n">
        <x:v>1.5820061798095704</x:v>
      </x:c>
      <x:c r="D199" s="44" t="n">
        <x:v>10000</x:v>
      </x:c>
      <x:c r="E199" s="47" t="n">
        <x:v>21.568205032497644</x:v>
      </x:c>
      <x:c r="F199" s="47" t="n">
        <x:v>0.1979011744260788</x:v>
      </x:c>
      <x:c r="G199" s="48" t="n">
        <x:v>14155776</x:v>
      </x:c>
      <x:c r="H199" s="48" t="n">
        <x:v>0</x:v>
      </x:c>
      <x:c r="I199" s="48" t="n">
        <x:v>31705</x:v>
      </x:c>
    </x:row>
    <x:row r="200">
      <x:c r="A200" s="44" t="n">
        <x:v>10198</x:v>
      </x:c>
      <x:c r="B200" s="45" t="n">
        <x:v>66.39</x:v>
      </x:c>
      <x:c r="C200" s="46" t="n">
        <x:v>1.5299117355346679</x:v>
      </x:c>
      <x:c r="D200" s="44" t="n">
        <x:v>10000</x:v>
      </x:c>
      <x:c r="E200" s="47" t="n">
        <x:v>21.56808642297983</x:v>
      </x:c>
      <x:c r="F200" s="47" t="n">
        <x:v>0.12899675965309143</x:v>
      </x:c>
      <x:c r="G200" s="48" t="n">
        <x:v>14155776</x:v>
      </x:c>
      <x:c r="H200" s="48" t="n">
        <x:v>0</x:v>
      </x:c>
      <x:c r="I200" s="48" t="n">
        <x:v>31711</x:v>
      </x:c>
    </x:row>
    <x:row r="201">
      <x:c r="A201" s="49" t="n">
        <x:v>10199</x:v>
      </x:c>
      <x:c r="B201" s="50" t="n">
        <x:v>64.76</x:v>
      </x:c>
      <x:c r="C201" s="51" t="n">
        <x:v>1.5731308151245118</x:v>
      </x:c>
      <x:c r="D201" s="49" t="n">
        <x:v>10000</x:v>
      </x:c>
      <x:c r="E201" s="52" t="n">
        <x:v>21.535432785749435</x:v>
      </x:c>
      <x:c r="F201" s="52" t="n">
        <x:v>0.20385700836777687</x:v>
      </x:c>
      <x:c r="G201" s="53" t="n">
        <x:v>14155776</x:v>
      </x:c>
      <x:c r="H201" s="53" t="n">
        <x:v>0</x:v>
      </x:c>
      <x:c r="I201" s="53" t="n">
        <x:v>31717</x:v>
      </x:c>
    </x:row>
  </x:sheetData>
  <x:conditionalFormatting sqref="B2:B201">
    <x:cfRule type="colorScale" priority="1">
      <x:colorScale>
        <x:cfvo type="min"/>
        <x:cfvo type="percentile" val="50"/>
        <x:cfvo type="max"/>
        <x:color rgb="FFFDE8E7"/>
        <x:color rgb="FFFFF4D6"/>
        <x:color rgb="FFDDF3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0500b5df0194b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55" hidden="0" customWidth="1"/>
    <x:col min="4" max="4" width="70" hidden="0" customWidth="1"/>
  </x:cols>
  <x:sheetData>
    <x:row r="1" ht="15" hidden="0" customHeight="1">
      <x:c r="A1" s="208" t="str">
        <x:v>Category</x:v>
      </x:c>
      <x:c r="B1" s="208" t="str">
        <x:v>Field</x:v>
      </x:c>
      <x:c r="C1" s="208" t="str">
        <x:v>Value</x:v>
      </x:c>
      <x:c r="D1" s="208" t="str">
        <x:v>Interpretation / reproducibility note</x:v>
      </x:c>
    </x:row>
    <x:row r="2" ht="15" hidden="0" customHeight="1">
      <x:c r="A2" s="215" t="str">
        <x:v>Workbook</x:v>
      </x:c>
      <x:c r="B2" s="215" t="str">
        <x:v>Generated</x:v>
      </x:c>
      <x:c r="C2" s="215" t="str">
        <x:v>2026-08-01</x:v>
      </x:c>
      <x:c r="D2" s="215" t="str">
        <x:v>Asia/Shanghai; values are copied from committed machine-readable results.</x:v>
      </x:c>
    </x:row>
    <x:row r="3" ht="15" hidden="0" customHeight="1">
      <x:c r="A3" s="216" t="str">
        <x:v>Device selection</x:v>
      </x:c>
      <x:c r="B3" s="216" t="str">
        <x:v>Primary table</x:v>
      </x:c>
      <x:c r="C3" s="216" t="str">
        <x:v>results/device_sweep_selected.csv</x:v>
      </x:c>
      <x:c r="D3" s="216" t="str">
        <x:v>Historical curated best runs used for the reported MLP/VGG8 device comparison.</x:v>
      </x:c>
    </x:row>
    <x:row r="4" ht="15" hidden="0" customHeight="1">
      <x:c r="A4" s="216" t="str">
        <x:v>FeFET</x:v>
      </x:c>
      <x:c r="B4" s="216" t="str">
        <x:v>Selected fit group</x:v>
      </x:c>
      <x:c r="C4" s="216" t="str">
        <x:v>legacy_poor_fit</x:v>
      </x:c>
      <x:c r="D4" s="216" t="str">
        <x:v>The requested older poorer measured-data fit, not the later clean fit.</x:v>
      </x:c>
    </x:row>
    <x:row r="5" ht="15" hidden="0" customHeight="1">
      <x:c r="A5" s="216" t="str">
        <x:v>FeFET</x:v>
      </x:c>
      <x:c r="B5" s="216" t="str">
        <x:v>Legacy parameters</x:v>
      </x:c>
      <x:c r="C5" s="216" t="str">
        <x:v>A_lk=0.001369; B_lk=1.29224; I_S=11.0725 μA; n=1.112106; V_sat=8.2624 V</x:v>
      </x:c>
      <x:c r="D5" s="216" t="str">
        <x:v>Default in configs/device_sweeps/device_params.yaml.</x:v>
      </x:c>
    </x:row>
    <x:row r="6" ht="15" hidden="0" customHeight="1">
      <x:c r="A6" s="216" t="str">
        <x:v>FeFET</x:v>
      </x:c>
      <x:c r="B6" s="216" t="str">
        <x:v>Latest-fit alternative</x:v>
      </x:c>
      <x:c r="C6" s="216" t="str">
        <x:v>configs/device_sweeps/device_params_fefet_latest_fit.yaml</x:v>
      </x:c>
      <x:c r="D6" s="216" t="str">
        <x:v>Retained for ablation and later controlled search; not substituted into the selected table.</x:v>
      </x:c>
    </x:row>
    <x:row r="7" ht="24" hidden="0" customHeight="1">
      <x:c r="A7" s="216" t="str">
        <x:v>ReRAM</x:v>
      </x:c>
      <x:c r="B7" s="216" t="str">
        <x:v>Recovered VGG8 result</x:v>
      </x:c>
      <x:c r="C7" s="216" t="str">
        <x:v>87.50% (trial 2, best epoch 190)</x:v>
      </x:c>
      <x:c r="D7" s="216" t="str">
        <x:v>Recovered from 20260525_122217/vgg8/cifar10/reram summary and trial CSV; this supersedes the later 81.25% row for the selected table.</x:v>
      </x:c>
    </x:row>
    <x:row r="8" ht="15" hidden="0" customHeight="1">
      <x:c r="A8" s="216" t="str">
        <x:v>Comparability</x:v>
      </x:c>
      <x:c r="B8" s="216" t="str">
        <x:v>Historical selected search</x:v>
      </x:c>
      <x:c r="C8" s="216" t="str">
        <x:v>LR + label smoothing + weight decay + TIA R + w_init_max</x:v>
      </x:c>
      <x:c r="D8" s="216" t="str">
        <x:v>Historical table is a best-run archive and varies more training hyperparameters.</x:v>
      </x:c>
    </x:row>
    <x:row r="9" ht="24" hidden="0" customHeight="1">
      <x:c r="A9" s="216" t="str">
        <x:v>Comparability</x:v>
      </x:c>
      <x:c r="B9" s="216" t="str">
        <x:v>Latest LR search</x:v>
      </x:c>
      <x:c r="C9" s="216" t="str">
        <x:v>LR + init center + init half-width + TIA R</x:v>
      </x:c>
      <x:c r="D9" s="216" t="str">
        <x:v>Regularization was fixed within each architecture; do not treat differences as a single-factor device ablation.</x:v>
      </x:c>
    </x:row>
    <x:row r="10" ht="15" hidden="0" customHeight="1">
      <x:c r="A10" s="216" t="str">
        <x:v>FG50</x:v>
      </x:c>
      <x:c r="B10" s="216" t="str">
        <x:v>Source checkpoint</x:v>
      </x:c>
      <x:c r="C10" s="216" t="str">
        <x:v>Physical ViT-S, CIFAR-100, 72.19%</x:v>
      </x:c>
      <x:c r="D10" s="216" t="str">
        <x:v>Continuous checkpoint before measured deployment.</x:v>
      </x:c>
    </x:row>
    <x:row r="11" ht="15" hidden="0" customHeight="1">
      <x:c r="A11" s="216" t="str">
        <x:v>FG50</x:v>
      </x:c>
      <x:c r="B11" s="216" t="str">
        <x:v>Assignment</x:v>
      </x:c>
      <x:c r="C11" s="216" t="str">
        <x:v>Top-128; 8,192 tokens/layer; coordinate block 2; seed 42</x:v>
      </x:c>
      <x:c r="D11" s="216" t="str">
        <x:v>Top-K enumerates 24×24 center-state pairs, not 32,240 raw member curves.</x:v>
      </x:c>
    </x:row>
    <x:row r="12" ht="15" hidden="0" customHeight="1">
      <x:c r="A12" s="216" t="str">
        <x:v>FG50</x:v>
      </x:c>
      <x:c r="B12" s="216" t="str">
        <x:v>Compensation</x:v>
      </x:c>
      <x:c r="C12" s="216" t="str">
        <x:v>attention + fc2 + LayerNorm + head; 10 epochs</x:v>
      </x:c>
      <x:c r="D12" s="216" t="str">
        <x:v>The fc1 measured assignment remains fixed throughout post-training.</x:v>
      </x:c>
    </x:row>
    <x:row r="13" ht="24" hidden="0" customHeight="1">
      <x:c r="A13" s="216" t="str">
        <x:v>FG50</x:v>
      </x:c>
      <x:c r="B13" s="216" t="str">
        <x:v>Monte Carlo</x:v>
      </x:c>
      <x:c r="C13" s="216" t="str">
        <x:v>200 seeds, exactly 10000–10199</x:v>
      </x:c>
      <x:c r="D13" s="216" t="str">
        <x:v>One complete raw member curve is independently sampled per physical cell and held fixed for the entire validation set.</x:v>
      </x:c>
    </x:row>
    <x:row r="14" ht="24" hidden="0" customHeight="1">
      <x:c r="A14" s="216" t="str">
        <x:v>FG50</x:v>
      </x:c>
      <x:c r="B14" s="216" t="str">
        <x:v>Raw data policy</x:v>
      </x:c>
      <x:c r="C14" s="216" t="str">
        <x:v>Raw 1,040-cell workbook not committed</x:v>
      </x:c>
      <x:c r="D14" s="216" t="str">
        <x:v>The repository documents the NPZ/JSON schema and runtime builder; publish the raw workbook only under the intended data-release policy.</x:v>
      </x:c>
    </x:row>
    <x:row r="15" ht="15" hidden="0" customHeight="1">
      <x:c r="A15" s="217" t="str">
        <x:v>FG50</x:v>
      </x:c>
      <x:c r="B15" s="217" t="str">
        <x:v>Mean top-1</x:v>
      </x:c>
      <x:c r="C15" s="217" t="str">
        <x:v>66.1091% ± 1.1268 pp SD</x:v>
      </x:c>
      <x:c r="D15" s="217" t="str">
        <x:v>95% CI for the mean: 65.9529–66.2653%; deterministic center curve: 71.35%.</x:v>
      </x:c>
    </x:row>
  </x:sheetData>
  <x:pageMargins left="0.7" right="0.7" top="0.75" bottom="0.75" header="0.3" footer="0.3"/>
  <x:tableParts count="1">
    <x:tablePart xmlns:r="http://schemas.openxmlformats.org/officeDocument/2006/relationships" r:id="R66753bcfdcc546dd"/>
  </x:tableParts>
</x:worksheet>
</file>